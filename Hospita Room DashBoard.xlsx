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Excel Dashboard Project\Complete Excel Project with Interactive Dashboard\"/>
    </mc:Choice>
  </mc:AlternateContent>
  <xr:revisionPtr revIDLastSave="0" documentId="13_ncr:1_{390BC3A6-3BB5-4886-81B4-2AC9EAA992C8}" xr6:coauthVersionLast="47" xr6:coauthVersionMax="47" xr10:uidLastSave="{00000000-0000-0000-0000-000000000000}"/>
  <bookViews>
    <workbookView xWindow="-108" yWindow="-108" windowWidth="23256" windowHeight="12576" activeTab="5" xr2:uid="{16E5E4D3-33D5-4D22-ACC8-2D4BF2D979B5}"/>
  </bookViews>
  <sheets>
    <sheet name="Sheet1" sheetId="1" r:id="rId1"/>
    <sheet name="DashBoard" sheetId="2" r:id="rId2"/>
    <sheet name="Daily ER No of Patient" sheetId="3" r:id="rId3"/>
    <sheet name="Average Wait Time" sheetId="4" r:id="rId4"/>
    <sheet name="Satisfaction Score" sheetId="5" r:id="rId5"/>
    <sheet name="Sheet2" sheetId="6"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3f8d57b-21ec-4886-86e2-fbc7c4509e49" name="Hospital Emergency Room Data" connection="Query - Hospital Emergency Room Data"/>
          <x15:modelTable id="Calendar_Date_7e921ca1-bb00-482f-b413-dccd95ea7442" name="Calendar_Date" connection="Query - Calendar_Date"/>
        </x15:modelTables>
        <x15:modelRelationships>
          <x15:modelRelationship fromTable="Hospital Emergency Room Data" fromColumn="Patient Admission Date" toTable="Calendar_Date" toColumn="Date"/>
        </x15:modelRelationships>
        <x15:extLst>
          <ext xmlns:x16="http://schemas.microsoft.com/office/spreadsheetml/2014/11/main" uri="{9835A34E-60A6-4A7C-AAB8-D5F71C897F49}">
            <x16:modelTimeGroupings>
              <x16:modelTimeGrouping tableName="Calendar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E10" i="1" l="1"/>
  <c r="D10" i="1"/>
  <c r="D11" i="1"/>
  <c r="E11" i="1"/>
  <c r="C11" i="1"/>
  <c r="C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B9FB4D-AD02-4FD2-B959-5284DF0ED9B0}" name="Query - Calendar_Date" description="Connection to the 'Calendar_Date' query in the workbook." type="100" refreshedVersion="8" minRefreshableVersion="5">
    <extLst>
      <ext xmlns:x15="http://schemas.microsoft.com/office/spreadsheetml/2010/11/main" uri="{DE250136-89BD-433C-8126-D09CA5730AF9}">
        <x15:connection id="f37e6271-f48c-4ab1-ae40-e77fd5464368"/>
      </ext>
    </extLst>
  </connection>
  <connection id="2" xr16:uid="{E22808F2-1EB4-4CDC-AF99-FFFE842495C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563d09e-67da-4e75-8a7d-a5f96b4255c0"/>
      </ext>
    </extLst>
  </connection>
  <connection id="3" xr16:uid="{59A36F26-A661-49CC-8275-B0D6FC5481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<sst xmlns="http://schemas.openxmlformats.org/spreadsheetml/2006/main" count="151" uniqueCount="76">
  <si>
    <t>Row Labels</t>
  </si>
  <si>
    <t>Grand Total</t>
  </si>
  <si>
    <t>2024</t>
  </si>
  <si>
    <t>No of Patient</t>
  </si>
  <si>
    <t>Distinct Count of Patient Id</t>
  </si>
  <si>
    <t>Average of Patient Waittime</t>
  </si>
  <si>
    <t>Patient Satisfaction Score</t>
  </si>
  <si>
    <t>Average of Patient Satisfaction Score</t>
  </si>
  <si>
    <t>Daily Trebd no of Patient</t>
  </si>
  <si>
    <t>Average Wait time</t>
  </si>
  <si>
    <t>Satisfaction Score</t>
  </si>
  <si>
    <t>Patient Attend Status</t>
  </si>
  <si>
    <t>Admitted</t>
  </si>
  <si>
    <t>Not Amitted</t>
  </si>
  <si>
    <t>Count of Patient Admission Flag</t>
  </si>
  <si>
    <t>Admission Status</t>
  </si>
  <si>
    <t>Patients</t>
  </si>
  <si>
    <t>0-09</t>
  </si>
  <si>
    <t>10-19</t>
  </si>
  <si>
    <t>20-29</t>
  </si>
  <si>
    <t>30-39</t>
  </si>
  <si>
    <t>40-49</t>
  </si>
  <si>
    <t>50-59</t>
  </si>
  <si>
    <t>60-69</t>
  </si>
  <si>
    <t>70-79</t>
  </si>
  <si>
    <t>Count of Age Group</t>
  </si>
  <si>
    <t>Age Group Wise</t>
  </si>
  <si>
    <t>On Time</t>
  </si>
  <si>
    <t>Delay</t>
  </si>
  <si>
    <t>Count of Patient WaitTime</t>
  </si>
  <si>
    <t>No. Of Patient by Gender</t>
  </si>
  <si>
    <t>Female</t>
  </si>
  <si>
    <t>Male</t>
  </si>
  <si>
    <t>Count of Patient Gender</t>
  </si>
  <si>
    <t>Cardiology</t>
  </si>
  <si>
    <t>Gastroenterology</t>
  </si>
  <si>
    <t>General Practice</t>
  </si>
  <si>
    <t>Neurology</t>
  </si>
  <si>
    <t>None</t>
  </si>
  <si>
    <t>Orthopedics</t>
  </si>
  <si>
    <t>Physiotherapy</t>
  </si>
  <si>
    <t>Renal</t>
  </si>
  <si>
    <t>Count of Department Referral</t>
  </si>
  <si>
    <t>Department Referral</t>
  </si>
  <si>
    <t>Status</t>
  </si>
  <si>
    <t>=IF(N11 L9=70,"70-79",IF(N9:O9 Age]&gt;=60,"60-69",IF([Patient Age]&gt;=50,"50-59",IF([Patient Age]&gt;=40,"40-49",IF([Patient Age]&gt;=30,"30-39",IF([Patient Age]&gt;=20,"20-29",IF([Patient Age]&gt;=10,"10-19","0-9")))))))</t>
  </si>
  <si>
    <t>Age Group Dax</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</si>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</sst>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8"/>
      <color rgb="FF000000"/>
      <name val="Aptos Narrow"/>
      <family val="2"/>
    </font>
    <font>
      <b/>
      <sz val="12"/>
      <color theme="1"/>
      <name val="Calibri"/>
      <family val="2"/>
      <scheme val="minor"/>
    </font>
    <font>
      <b/>
      <strike/>
      <sz val="11"/>
      <color theme="1"/>
      <name val="Calibri"/>
      <family val="2"/>
      <scheme val="minor"/>
    </font>
    <font>
      <sz val="16"/>
      <color theme="1"/>
      <name val="Calibri"/>
      <family val="2"/>
      <scheme val="minor"/>
    </font>
    <font>
      <b/>
      <sz val="16"/>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1"/>
        <bgColor indexed="64"/>
      </patternFill>
    </fill>
    <fill>
      <patternFill patternType="solid">
        <fgColor theme="4"/>
        <bgColor indexed="64"/>
      </patternFill>
    </fill>
    <fill>
      <patternFill patternType="solid">
        <fgColor theme="1"/>
        <bgColor theme="1"/>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3" fillId="0" borderId="0" xfId="0" applyFont="1" applyAlignment="1">
      <alignment horizontal="center" vertical="center"/>
    </xf>
    <xf numFmtId="0" fontId="0" fillId="3" borderId="0" xfId="0" applyFill="1"/>
    <xf numFmtId="0" fontId="0" fillId="4" borderId="0" xfId="0" applyFill="1"/>
    <xf numFmtId="164" fontId="0" fillId="0" borderId="0" xfId="0" applyNumberFormat="1"/>
    <xf numFmtId="0" fontId="2" fillId="0" borderId="0" xfId="0" applyFont="1"/>
    <xf numFmtId="0" fontId="4" fillId="0" borderId="0" xfId="0" applyFont="1"/>
    <xf numFmtId="1" fontId="0" fillId="0" borderId="0" xfId="0" applyNumberFormat="1"/>
    <xf numFmtId="9" fontId="0" fillId="0" borderId="0" xfId="0" applyNumberFormat="1"/>
    <xf numFmtId="9" fontId="0" fillId="0" borderId="0" xfId="1" applyFont="1"/>
    <xf numFmtId="9" fontId="0" fillId="3" borderId="0" xfId="0" applyNumberFormat="1" applyFill="1"/>
    <xf numFmtId="9" fontId="0" fillId="3" borderId="0" xfId="1" applyFont="1" applyFill="1"/>
    <xf numFmtId="10" fontId="5" fillId="5" borderId="0" xfId="0" applyNumberFormat="1" applyFont="1" applyFill="1"/>
    <xf numFmtId="0" fontId="2" fillId="5" borderId="0" xfId="0" applyFont="1" applyFill="1" applyAlignment="1">
      <alignment horizontal="center"/>
    </xf>
    <xf numFmtId="0" fontId="0" fillId="3" borderId="0" xfId="0" applyFill="1" applyAlignment="1">
      <alignment horizontal="center"/>
    </xf>
    <xf numFmtId="9" fontId="0" fillId="3" borderId="0" xfId="0" applyNumberFormat="1" applyFill="1" applyAlignment="1">
      <alignment horizontal="center"/>
    </xf>
    <xf numFmtId="9" fontId="0" fillId="3" borderId="0" xfId="1" applyFont="1" applyFill="1" applyAlignment="1">
      <alignment horizontal="center"/>
    </xf>
    <xf numFmtId="0" fontId="0" fillId="0" borderId="0" xfId="0" applyAlignment="1">
      <alignment vertical="center"/>
    </xf>
    <xf numFmtId="49" fontId="5" fillId="5" borderId="0" xfId="0" applyNumberFormat="1" applyFont="1" applyFill="1" applyAlignment="1">
      <alignment horizontal="center"/>
    </xf>
    <xf numFmtId="0" fontId="6" fillId="0" borderId="0" xfId="0" applyFont="1" applyAlignment="1">
      <alignment horizontal="center" wrapText="1"/>
    </xf>
    <xf numFmtId="0" fontId="7" fillId="0" borderId="0" xfId="0" applyFont="1" applyAlignment="1">
      <alignment horizontal="center"/>
    </xf>
    <xf numFmtId="0" fontId="8" fillId="6" borderId="0" xfId="0" applyFont="1" applyFill="1" applyBorder="1"/>
  </cellXfs>
  <cellStyles count="2">
    <cellStyle name="Normal" xfId="0" builtinId="0"/>
    <cellStyle name="Percent" xfId="1" builtinId="5"/>
  </cellStyles>
  <dxfs count="16">
    <dxf>
      <numFmt numFmtId="1" formatCode="0"/>
    </dxf>
    <dxf>
      <numFmt numFmtId="1" formatCode="0"/>
    </dxf>
    <dxf>
      <numFmt numFmtId="164" formatCode="0.0"/>
    </dxf>
    <dxf>
      <numFmt numFmtId="164" formatCode="0.0"/>
    </dxf>
    <dxf>
      <numFmt numFmtId="1" formatCode="0"/>
    </dxf>
    <dxf>
      <numFmt numFmtId="164" formatCode="0.0"/>
    </dxf>
    <dxf>
      <numFmt numFmtId="164" formatCode="0.0"/>
    </dxf>
    <dxf>
      <numFmt numFmtId="13" formatCode="0%"/>
    </dxf>
    <dxf>
      <numFmt numFmtId="14" formatCode="0.00%"/>
    </dxf>
    <dxf>
      <numFmt numFmtId="1" formatCode="0"/>
    </dxf>
    <dxf>
      <numFmt numFmtId="1" formatCode="0"/>
    </dxf>
    <dxf>
      <numFmt numFmtId="1" formatCode="0"/>
    </dxf>
    <dxf>
      <font>
        <b/>
        <color theme="1"/>
      </font>
      <border>
        <bottom style="thin">
          <color theme="4"/>
        </bottom>
        <vertical/>
        <horizontal/>
      </border>
    </dxf>
    <dxf>
      <font>
        <sz val="7"/>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Invisible" pivot="0" table="0" count="0" xr9:uid="{0C63A469-5F72-4F70-B09E-BF3BF40517A0}"/>
    <tableStyle name="MY Slicer" pivot="0" table="0" count="10" xr9:uid="{C3D42FC2-0B09-4477-90F7-A444CD509B03}">
      <tableStyleElement type="wholeTable" dxfId="15"/>
      <tableStyleElement type="headerRow" dxfId="14"/>
    </tableStyle>
    <tableStyle name="My Slicer2" pivot="0" table="0" count="10" xr9:uid="{C04D90BA-8539-4BC4-84B9-D8CED006DC82}">
      <tableStyleElement type="wholeTable" dxfId="13"/>
      <tableStyleElement type="headerRow" dxfId="1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barChart>
        <c:barDir val="bar"/>
        <c:grouping val="clustered"/>
        <c:varyColors val="0"/>
        <c:ser>
          <c:idx val="0"/>
          <c:order val="0"/>
          <c:tx>
            <c:strRef>
              <c:f>Sheet1!$D$3</c:f>
              <c:strCache>
                <c:ptCount val="1"/>
                <c:pt idx="0">
                  <c:v>Patient Attend Status</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Sheet1!$C$4:$C$6</c:f>
              <c:strCache>
                <c:ptCount val="2"/>
                <c:pt idx="0">
                  <c:v>Admitted</c:v>
                </c:pt>
                <c:pt idx="1">
                  <c:v>Not Amitted</c:v>
                </c:pt>
              </c:strCache>
            </c:strRef>
          </c:cat>
          <c:val>
            <c:numRef>
              <c:f>Sheet1!$D$4:$D$6</c:f>
              <c:numCache>
                <c:formatCode>0</c:formatCode>
                <c:ptCount val="2"/>
                <c:pt idx="0">
                  <c:v>224</c:v>
                </c:pt>
                <c:pt idx="1">
                  <c:v>207</c:v>
                </c:pt>
              </c:numCache>
            </c:numRef>
          </c:val>
          <c:extLst>
            <c:ext xmlns:c16="http://schemas.microsoft.com/office/drawing/2014/chart" uri="{C3380CC4-5D6E-409C-BE32-E72D297353CC}">
              <c16:uniqueId val="{00000005-31D2-4731-93D1-DF55A2FE8E72}"/>
            </c:ext>
          </c:extLst>
        </c:ser>
        <c:ser>
          <c:idx val="1"/>
          <c:order val="1"/>
          <c:tx>
            <c:strRef>
              <c:f>Sheet1!$E$3</c:f>
              <c:strCache>
                <c:ptCount val="1"/>
                <c:pt idx="0">
                  <c:v>Count of Patient Admission Flag</c:v>
                </c:pt>
              </c:strCache>
            </c:strRef>
          </c:tx>
          <c:spPr>
            <a:solidFill>
              <a:schemeClr val="accent2"/>
            </a:solidFill>
            <a:ln>
              <a:noFill/>
            </a:ln>
            <a:effectLst/>
          </c:spPr>
          <c:invertIfNegative val="0"/>
          <c:cat>
            <c:strRef>
              <c:f>Sheet1!$C$4:$C$6</c:f>
              <c:strCache>
                <c:ptCount val="2"/>
                <c:pt idx="0">
                  <c:v>Admitted</c:v>
                </c:pt>
                <c:pt idx="1">
                  <c:v>Not Amitted</c:v>
                </c:pt>
              </c:strCache>
            </c:strRef>
          </c:cat>
          <c:val>
            <c:numRef>
              <c:f>Sheet1!$E$4:$E$6</c:f>
              <c:numCache>
                <c:formatCode>0%</c:formatCode>
                <c:ptCount val="2"/>
                <c:pt idx="0">
                  <c:v>0.51972157772621808</c:v>
                </c:pt>
                <c:pt idx="1">
                  <c:v>0.48027842227378192</c:v>
                </c:pt>
              </c:numCache>
            </c:numRef>
          </c:val>
          <c:extLst>
            <c:ext xmlns:c16="http://schemas.microsoft.com/office/drawing/2014/chart" uri="{C3380CC4-5D6E-409C-BE32-E72D297353CC}">
              <c16:uniqueId val="{00000006-31D2-4731-93D1-DF55A2FE8E72}"/>
            </c:ext>
          </c:extLst>
        </c:ser>
        <c:dLbls>
          <c:showLegendKey val="0"/>
          <c:showVal val="0"/>
          <c:showCatName val="0"/>
          <c:showSerName val="0"/>
          <c:showPercent val="0"/>
          <c:showBubbleSize val="0"/>
        </c:dLbls>
        <c:gapWidth val="0"/>
        <c:axId val="436423375"/>
        <c:axId val="436415695"/>
      </c:barChart>
      <c:catAx>
        <c:axId val="436423375"/>
        <c:scaling>
          <c:orientation val="minMax"/>
        </c:scaling>
        <c:delete val="1"/>
        <c:axPos val="l"/>
        <c:numFmt formatCode="General" sourceLinked="1"/>
        <c:majorTickMark val="none"/>
        <c:minorTickMark val="none"/>
        <c:tickLblPos val="nextTo"/>
        <c:crossAx val="436415695"/>
        <c:crosses val="autoZero"/>
        <c:auto val="1"/>
        <c:lblAlgn val="ctr"/>
        <c:lblOffset val="100"/>
        <c:noMultiLvlLbl val="0"/>
      </c:catAx>
      <c:valAx>
        <c:axId val="436415695"/>
        <c:scaling>
          <c:orientation val="minMax"/>
        </c:scaling>
        <c:delete val="1"/>
        <c:axPos val="b"/>
        <c:numFmt formatCode="0" sourceLinked="1"/>
        <c:majorTickMark val="none"/>
        <c:minorTickMark val="none"/>
        <c:tickLblPos val="nextTo"/>
        <c:crossAx val="4364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DashBoard.xlsx]Sheet1!PivotTable5</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6440882397644235E-2"/>
          <c:y val="0.22135462055983546"/>
          <c:w val="0.87583005872518271"/>
          <c:h val="0.66534887179807034"/>
        </c:manualLayout>
      </c:layout>
      <c:areaChart>
        <c:grouping val="standard"/>
        <c:varyColors val="0"/>
        <c:ser>
          <c:idx val="0"/>
          <c:order val="0"/>
          <c:tx>
            <c:strRef>
              <c:f>Sheet1!$H$4</c:f>
              <c:strCache>
                <c:ptCount val="1"/>
                <c:pt idx="0">
                  <c:v>Total</c:v>
                </c:pt>
              </c:strCache>
            </c:strRef>
          </c:tx>
          <c:spPr>
            <a:solidFill>
              <a:schemeClr val="accent1"/>
            </a:solidFill>
            <a:ln w="25400">
              <a:noFill/>
            </a:ln>
            <a:effectLst/>
          </c:spPr>
          <c:cat>
            <c:strRef>
              <c:f>Sheet1!$G$5:$G$34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Sheet1!$H$5:$H$34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923D-4EEB-A8E6-5AAC9EDD3301}"/>
            </c:ext>
          </c:extLst>
        </c:ser>
        <c:dLbls>
          <c:showLegendKey val="0"/>
          <c:showVal val="0"/>
          <c:showCatName val="0"/>
          <c:showSerName val="0"/>
          <c:showPercent val="0"/>
          <c:showBubbleSize val="0"/>
        </c:dLbls>
        <c:axId val="172155071"/>
        <c:axId val="170403935"/>
      </c:areaChart>
      <c:catAx>
        <c:axId val="172155071"/>
        <c:scaling>
          <c:orientation val="minMax"/>
        </c:scaling>
        <c:delete val="1"/>
        <c:axPos val="b"/>
        <c:numFmt formatCode="General" sourceLinked="1"/>
        <c:majorTickMark val="out"/>
        <c:minorTickMark val="none"/>
        <c:tickLblPos val="nextTo"/>
        <c:crossAx val="170403935"/>
        <c:crosses val="autoZero"/>
        <c:auto val="1"/>
        <c:lblAlgn val="ctr"/>
        <c:lblOffset val="100"/>
        <c:noMultiLvlLbl val="0"/>
      </c:catAx>
      <c:valAx>
        <c:axId val="170403935"/>
        <c:scaling>
          <c:orientation val="minMax"/>
        </c:scaling>
        <c:delete val="1"/>
        <c:axPos val="l"/>
        <c:numFmt formatCode="General" sourceLinked="1"/>
        <c:majorTickMark val="none"/>
        <c:minorTickMark val="none"/>
        <c:tickLblPos val="nextTo"/>
        <c:crossAx val="172155071"/>
        <c:crosses val="autoZero"/>
        <c:crossBetween val="midCat"/>
      </c:valAx>
      <c:spPr>
        <a:noFill/>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95054724637761E-2"/>
          <c:y val="5.0926294803081577E-2"/>
          <c:w val="0.93888888888888888"/>
          <c:h val="0.89297196252903199"/>
        </c:manualLayout>
      </c:layout>
      <c:areaChart>
        <c:grouping val="standard"/>
        <c:varyColors val="0"/>
        <c:ser>
          <c:idx val="0"/>
          <c:order val="0"/>
          <c:tx>
            <c:strRef>
              <c:f>Sheet1!$H$4</c:f>
              <c:strCache>
                <c:ptCount val="1"/>
                <c:pt idx="0">
                  <c:v>Total</c:v>
                </c:pt>
              </c:strCache>
            </c:strRef>
          </c:tx>
          <c:spPr>
            <a:solidFill>
              <a:schemeClr val="accent1"/>
            </a:solidFill>
            <a:ln w="25400">
              <a:noFill/>
            </a:ln>
            <a:effectLst/>
          </c:spPr>
          <c:cat>
            <c:strRef>
              <c:f>Sheet1!$G$5:$G$34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Sheet1!$H$5:$H$34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F58E-40D6-9D53-19708A59C016}"/>
            </c:ext>
          </c:extLst>
        </c:ser>
        <c:dLbls>
          <c:showLegendKey val="0"/>
          <c:showVal val="0"/>
          <c:showCatName val="0"/>
          <c:showSerName val="0"/>
          <c:showPercent val="0"/>
          <c:showBubbleSize val="0"/>
        </c:dLbls>
        <c:axId val="1196599648"/>
        <c:axId val="268114703"/>
      </c:areaChart>
      <c:catAx>
        <c:axId val="1196599648"/>
        <c:scaling>
          <c:orientation val="minMax"/>
        </c:scaling>
        <c:delete val="1"/>
        <c:axPos val="b"/>
        <c:numFmt formatCode="General" sourceLinked="1"/>
        <c:majorTickMark val="out"/>
        <c:minorTickMark val="none"/>
        <c:tickLblPos val="nextTo"/>
        <c:crossAx val="268114703"/>
        <c:crosses val="autoZero"/>
        <c:auto val="1"/>
        <c:lblAlgn val="ctr"/>
        <c:lblOffset val="100"/>
        <c:noMultiLvlLbl val="0"/>
      </c:catAx>
      <c:valAx>
        <c:axId val="268114703"/>
        <c:scaling>
          <c:orientation val="minMax"/>
        </c:scaling>
        <c:delete val="1"/>
        <c:axPos val="l"/>
        <c:numFmt formatCode="General" sourceLinked="1"/>
        <c:majorTickMark val="none"/>
        <c:minorTickMark val="none"/>
        <c:tickLblPos val="nextTo"/>
        <c:crossAx val="1196599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79416311976E-2"/>
          <c:y val="0.18710668659103824"/>
          <c:w val="0.93004116737604803"/>
          <c:h val="0.75943426009723658"/>
        </c:manualLayout>
      </c:layout>
      <c:areaChart>
        <c:grouping val="standard"/>
        <c:varyColors val="0"/>
        <c:ser>
          <c:idx val="0"/>
          <c:order val="0"/>
          <c:tx>
            <c:strRef>
              <c:f>Sheet1!$O$4</c:f>
              <c:strCache>
                <c:ptCount val="1"/>
                <c:pt idx="0">
                  <c:v>Total</c:v>
                </c:pt>
              </c:strCache>
            </c:strRef>
          </c:tx>
          <c:spPr>
            <a:solidFill>
              <a:schemeClr val="accent1"/>
            </a:solidFill>
            <a:ln w="25400">
              <a:noFill/>
            </a:ln>
            <a:effectLst/>
          </c:spPr>
          <c:cat>
            <c:strRef>
              <c:f>Sheet1!$N$5:$N$33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Sheet1!$O$5:$O$33</c:f>
              <c:numCache>
                <c:formatCode>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4833-4A70-962E-FF90C340412A}"/>
            </c:ext>
          </c:extLst>
        </c:ser>
        <c:dLbls>
          <c:showLegendKey val="0"/>
          <c:showVal val="0"/>
          <c:showCatName val="0"/>
          <c:showSerName val="0"/>
          <c:showPercent val="0"/>
          <c:showBubbleSize val="0"/>
        </c:dLbls>
        <c:axId val="271369983"/>
        <c:axId val="271370943"/>
      </c:areaChart>
      <c:catAx>
        <c:axId val="271369983"/>
        <c:scaling>
          <c:orientation val="minMax"/>
        </c:scaling>
        <c:delete val="1"/>
        <c:axPos val="b"/>
        <c:numFmt formatCode="General" sourceLinked="1"/>
        <c:majorTickMark val="out"/>
        <c:minorTickMark val="none"/>
        <c:tickLblPos val="nextTo"/>
        <c:crossAx val="271370943"/>
        <c:crosses val="autoZero"/>
        <c:auto val="1"/>
        <c:lblAlgn val="ctr"/>
        <c:lblOffset val="100"/>
        <c:noMultiLvlLbl val="0"/>
      </c:catAx>
      <c:valAx>
        <c:axId val="271370943"/>
        <c:scaling>
          <c:orientation val="minMax"/>
        </c:scaling>
        <c:delete val="1"/>
        <c:axPos val="l"/>
        <c:numFmt formatCode="0.0" sourceLinked="1"/>
        <c:majorTickMark val="none"/>
        <c:minorTickMark val="none"/>
        <c:tickLblPos val="nextTo"/>
        <c:crossAx val="271369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34D4F091-1609-4900-BF97-B960F123B091}" type="CELLRANGE">
                  <a:rPr lang="en-US" sz="5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4763AA8-C324-4240-A321-F91814805DAF}" type="CELLRANGE">
                  <a:rPr lang="en-US" sz="5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34D4F091-1609-4900-BF97-B960F123B091}" type="CELLRANGE">
                  <a:rPr lang="en-US" sz="5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E4763AA8-C324-4240-A321-F91814805DAF}" type="CELLRANGE">
                  <a:rPr lang="en-US" sz="500"/>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Sheet1!$D$3</c:f>
              <c:strCache>
                <c:ptCount val="1"/>
                <c:pt idx="0">
                  <c:v>Patient Attend Status</c:v>
                </c:pt>
              </c:strCache>
            </c:strRef>
          </c:tx>
          <c:spPr>
            <a:solidFill>
              <a:schemeClr val="accent1"/>
            </a:solidFill>
            <a:ln>
              <a:noFill/>
            </a:ln>
            <a:effectLst/>
          </c:spPr>
          <c:invertIfNegative val="0"/>
          <c:dLbls>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Sheet1!$C$4:$C$6</c:f>
              <c:strCache>
                <c:ptCount val="2"/>
                <c:pt idx="0">
                  <c:v>Admitted</c:v>
                </c:pt>
                <c:pt idx="1">
                  <c:v>Not Amitted</c:v>
                </c:pt>
              </c:strCache>
            </c:strRef>
          </c:cat>
          <c:val>
            <c:numRef>
              <c:f>Sheet1!$D$4:$D$6</c:f>
              <c:numCache>
                <c:formatCode>0</c:formatCode>
                <c:ptCount val="2"/>
                <c:pt idx="0">
                  <c:v>224</c:v>
                </c:pt>
                <c:pt idx="1">
                  <c:v>207</c:v>
                </c:pt>
              </c:numCache>
            </c:numRef>
          </c:val>
          <c:extLst>
            <c:ext xmlns:c16="http://schemas.microsoft.com/office/drawing/2014/chart" uri="{C3380CC4-5D6E-409C-BE32-E72D297353CC}">
              <c16:uniqueId val="{00000004-8F1C-488F-89B9-1AE1432B114E}"/>
            </c:ext>
          </c:extLst>
        </c:ser>
        <c:ser>
          <c:idx val="1"/>
          <c:order val="1"/>
          <c:tx>
            <c:strRef>
              <c:f>Sheet1!$E$3</c:f>
              <c:strCache>
                <c:ptCount val="1"/>
                <c:pt idx="0">
                  <c:v>Count of Patient Admission Flag</c:v>
                </c:pt>
              </c:strCache>
            </c:strRef>
          </c:tx>
          <c:spPr>
            <a:solidFill>
              <a:schemeClr val="accent2"/>
            </a:solidFill>
            <a:ln>
              <a:noFill/>
            </a:ln>
            <a:effectLst/>
          </c:spPr>
          <c:invertIfNegative val="0"/>
          <c:cat>
            <c:strRef>
              <c:f>Sheet1!$C$4:$C$6</c:f>
              <c:strCache>
                <c:ptCount val="2"/>
                <c:pt idx="0">
                  <c:v>Admitted</c:v>
                </c:pt>
                <c:pt idx="1">
                  <c:v>Not Amitted</c:v>
                </c:pt>
              </c:strCache>
            </c:strRef>
          </c:cat>
          <c:val>
            <c:numRef>
              <c:f>Sheet1!$E$4:$E$6</c:f>
              <c:numCache>
                <c:formatCode>0%</c:formatCode>
                <c:ptCount val="2"/>
                <c:pt idx="0">
                  <c:v>0.51972157772621808</c:v>
                </c:pt>
                <c:pt idx="1">
                  <c:v>0.48027842227378192</c:v>
                </c:pt>
              </c:numCache>
            </c:numRef>
          </c:val>
          <c:extLst>
            <c:ext xmlns:c16="http://schemas.microsoft.com/office/drawing/2014/chart" uri="{C3380CC4-5D6E-409C-BE32-E72D297353CC}">
              <c16:uniqueId val="{00000005-8F1C-488F-89B9-1AE1432B114E}"/>
            </c:ext>
          </c:extLst>
        </c:ser>
        <c:dLbls>
          <c:showLegendKey val="0"/>
          <c:showVal val="0"/>
          <c:showCatName val="0"/>
          <c:showSerName val="0"/>
          <c:showPercent val="0"/>
          <c:showBubbleSize val="0"/>
        </c:dLbls>
        <c:gapWidth val="0"/>
        <c:overlap val="10"/>
        <c:axId val="436423375"/>
        <c:axId val="436415695"/>
      </c:barChart>
      <c:catAx>
        <c:axId val="436423375"/>
        <c:scaling>
          <c:orientation val="minMax"/>
        </c:scaling>
        <c:delete val="1"/>
        <c:axPos val="l"/>
        <c:numFmt formatCode="General" sourceLinked="1"/>
        <c:majorTickMark val="none"/>
        <c:minorTickMark val="none"/>
        <c:tickLblPos val="nextTo"/>
        <c:crossAx val="436415695"/>
        <c:crosses val="autoZero"/>
        <c:auto val="1"/>
        <c:lblAlgn val="ctr"/>
        <c:lblOffset val="100"/>
        <c:noMultiLvlLbl val="0"/>
      </c:catAx>
      <c:valAx>
        <c:axId val="436415695"/>
        <c:scaling>
          <c:orientation val="minMax"/>
        </c:scaling>
        <c:delete val="1"/>
        <c:axPos val="b"/>
        <c:numFmt formatCode="0" sourceLinked="1"/>
        <c:majorTickMark val="none"/>
        <c:minorTickMark val="none"/>
        <c:tickLblPos val="nextTo"/>
        <c:crossAx val="4364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24524018029055E-2"/>
          <c:y val="6.6492418403069617E-2"/>
          <c:w val="0.90528517983003098"/>
          <c:h val="0.68913919454586015"/>
        </c:manualLayout>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Sheet1!$A$17:$A$25</c:f>
              <c:strCache>
                <c:ptCount val="8"/>
                <c:pt idx="0">
                  <c:v>0-09</c:v>
                </c:pt>
                <c:pt idx="1">
                  <c:v>10-19</c:v>
                </c:pt>
                <c:pt idx="2">
                  <c:v>20-29</c:v>
                </c:pt>
                <c:pt idx="3">
                  <c:v>30-39</c:v>
                </c:pt>
                <c:pt idx="4">
                  <c:v>40-49</c:v>
                </c:pt>
                <c:pt idx="5">
                  <c:v>50-59</c:v>
                </c:pt>
                <c:pt idx="6">
                  <c:v>60-69</c:v>
                </c:pt>
                <c:pt idx="7">
                  <c:v>70-79</c:v>
                </c:pt>
              </c:strCache>
            </c:strRef>
          </c:cat>
          <c:val>
            <c:numRef>
              <c:f>Sheet1!$B$17:$B$25</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1-B562-456F-8A2C-5E7185EF5634}"/>
            </c:ext>
          </c:extLst>
        </c:ser>
        <c:dLbls>
          <c:showLegendKey val="0"/>
          <c:showVal val="0"/>
          <c:showCatName val="0"/>
          <c:showSerName val="0"/>
          <c:showPercent val="0"/>
          <c:showBubbleSize val="0"/>
        </c:dLbls>
        <c:gapWidth val="219"/>
        <c:overlap val="-27"/>
        <c:axId val="436418575"/>
        <c:axId val="436410895"/>
      </c:barChart>
      <c:catAx>
        <c:axId val="4364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36410895"/>
        <c:crosses val="autoZero"/>
        <c:auto val="1"/>
        <c:lblAlgn val="ctr"/>
        <c:lblOffset val="100"/>
        <c:noMultiLvlLbl val="0"/>
      </c:catAx>
      <c:valAx>
        <c:axId val="436410895"/>
        <c:scaling>
          <c:orientation val="minMax"/>
        </c:scaling>
        <c:delete val="1"/>
        <c:axPos val="l"/>
        <c:numFmt formatCode="0" sourceLinked="1"/>
        <c:majorTickMark val="none"/>
        <c:minorTickMark val="none"/>
        <c:tickLblPos val="nextTo"/>
        <c:crossAx val="4364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DashBoard.xlsx]Sheet1!PivotTable10</c:name>
    <c:fmtId val="1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986747517296437"/>
          <c:y val="0.24403762029746276"/>
          <c:w val="0.65558589068753237"/>
          <c:h val="0.68535695538057739"/>
        </c:manualLayout>
      </c:layout>
      <c:pieChart>
        <c:varyColors val="1"/>
        <c:ser>
          <c:idx val="0"/>
          <c:order val="0"/>
          <c:tx>
            <c:strRef>
              <c:f>Sheet1!$E$17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1D6-43F1-A9AE-4226CD2077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1D6-43F1-A9AE-4226CD2077E8}"/>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Sheet1!$D$18:$D$20</c:f>
              <c:strCache>
                <c:ptCount val="2"/>
                <c:pt idx="0">
                  <c:v>Delay</c:v>
                </c:pt>
                <c:pt idx="1">
                  <c:v>On Time</c:v>
                </c:pt>
              </c:strCache>
            </c:strRef>
          </c:cat>
          <c:val>
            <c:numRef>
              <c:f>Sheet1!$E$18:$E$20</c:f>
              <c:numCache>
                <c:formatCode>0</c:formatCode>
                <c:ptCount val="2"/>
                <c:pt idx="0">
                  <c:v>283</c:v>
                </c:pt>
                <c:pt idx="1">
                  <c:v>148</c:v>
                </c:pt>
              </c:numCache>
            </c:numRef>
          </c:val>
          <c:extLst>
            <c:ext xmlns:c16="http://schemas.microsoft.com/office/drawing/2014/chart" uri="{C3380CC4-5D6E-409C-BE32-E72D297353CC}">
              <c16:uniqueId val="{00000005-8B83-4C73-9F72-AA6C983A7F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822805091685318E-3"/>
          <c:y val="3.3359034713444688E-2"/>
          <c:w val="0.94451557074418957"/>
          <c:h val="0.14837158015250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DashBoard.xlsx]Sheet1!PivotTable11</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hade val="50000"/>
                <a:alpha val="96000"/>
              </a:schemeClr>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hade val="50000"/>
                <a:alpha val="96000"/>
              </a:schemeClr>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hade val="50000"/>
                <a:alpha val="96000"/>
              </a:schemeClr>
            </a:solidFill>
          </a:ln>
          <a:effectLst/>
        </c:spPr>
      </c:pivotFmt>
    </c:pivotFmts>
    <c:plotArea>
      <c:layout>
        <c:manualLayout>
          <c:layoutTarget val="inner"/>
          <c:xMode val="edge"/>
          <c:yMode val="edge"/>
          <c:x val="0.1677892293000002"/>
          <c:y val="0.27725649856205109"/>
          <c:w val="0.64390667629103104"/>
          <c:h val="0.68126646103147037"/>
        </c:manualLayout>
      </c:layout>
      <c:doughnutChart>
        <c:varyColors val="1"/>
        <c:ser>
          <c:idx val="0"/>
          <c:order val="0"/>
          <c:tx>
            <c:strRef>
              <c:f>Sheet1!$E$24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F-4EE5-B399-41134D03CC4C}"/>
              </c:ext>
            </c:extLst>
          </c:dPt>
          <c:dPt>
            <c:idx val="1"/>
            <c:bubble3D val="0"/>
            <c:spPr>
              <a:solidFill>
                <a:schemeClr val="accent2"/>
              </a:solidFill>
              <a:ln w="19050">
                <a:solidFill>
                  <a:schemeClr val="lt1">
                    <a:shade val="50000"/>
                    <a:alpha val="96000"/>
                  </a:schemeClr>
                </a:solidFill>
              </a:ln>
              <a:effectLst/>
            </c:spPr>
            <c:extLst>
              <c:ext xmlns:c16="http://schemas.microsoft.com/office/drawing/2014/chart" uri="{C3380CC4-5D6E-409C-BE32-E72D297353CC}">
                <c16:uniqueId val="{00000003-AF4F-4EE5-B399-41134D03CC4C}"/>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Sheet1!$D$25:$D$27</c:f>
              <c:strCache>
                <c:ptCount val="2"/>
                <c:pt idx="0">
                  <c:v>Female</c:v>
                </c:pt>
                <c:pt idx="1">
                  <c:v>Male</c:v>
                </c:pt>
              </c:strCache>
            </c:strRef>
          </c:cat>
          <c:val>
            <c:numRef>
              <c:f>Sheet1!$E$25:$E$27</c:f>
              <c:numCache>
                <c:formatCode>0</c:formatCode>
                <c:ptCount val="2"/>
                <c:pt idx="0">
                  <c:v>194</c:v>
                </c:pt>
                <c:pt idx="1">
                  <c:v>237</c:v>
                </c:pt>
              </c:numCache>
            </c:numRef>
          </c:val>
          <c:extLst>
            <c:ext xmlns:c16="http://schemas.microsoft.com/office/drawing/2014/chart" uri="{C3380CC4-5D6E-409C-BE32-E72D297353CC}">
              <c16:uniqueId val="{00000005-9A4B-41FD-BC4A-890134DC8E74}"/>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6.0585199580258778E-2"/>
          <c:y val="5.1504082822980482E-2"/>
          <c:w val="0.93937177455402499"/>
          <c:h val="0.27132419724759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Sheet1!$A$32:$A$40</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Sheet1!$B$32:$B$40</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1-5EB6-44BE-A626-84C6C5965E22}"/>
            </c:ext>
          </c:extLst>
        </c:ser>
        <c:dLbls>
          <c:showLegendKey val="0"/>
          <c:showVal val="0"/>
          <c:showCatName val="0"/>
          <c:showSerName val="0"/>
          <c:showPercent val="0"/>
          <c:showBubbleSize val="0"/>
        </c:dLbls>
        <c:gapWidth val="40"/>
        <c:axId val="185396607"/>
        <c:axId val="185395647"/>
      </c:barChart>
      <c:catAx>
        <c:axId val="18539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5395647"/>
        <c:crosses val="autoZero"/>
        <c:auto val="1"/>
        <c:lblAlgn val="ctr"/>
        <c:lblOffset val="100"/>
        <c:noMultiLvlLbl val="0"/>
      </c:catAx>
      <c:valAx>
        <c:axId val="185395647"/>
        <c:scaling>
          <c:orientation val="minMax"/>
        </c:scaling>
        <c:delete val="1"/>
        <c:axPos val="b"/>
        <c:numFmt formatCode="0" sourceLinked="1"/>
        <c:majorTickMark val="none"/>
        <c:minorTickMark val="none"/>
        <c:tickLblPos val="nextTo"/>
        <c:crossAx val="18539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Sheet1!$H$5:$H$34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0651-4AF9-8FF2-96417DA1AEF0}"/>
            </c:ext>
          </c:extLst>
        </c:ser>
        <c:dLbls>
          <c:showLegendKey val="0"/>
          <c:showVal val="1"/>
          <c:showCatName val="0"/>
          <c:showSerName val="0"/>
          <c:showPercent val="0"/>
          <c:showBubbleSize val="0"/>
        </c:dLbls>
        <c:axId val="172155071"/>
        <c:axId val="170403935"/>
      </c:areaChart>
      <c:catAx>
        <c:axId val="1721550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03935"/>
        <c:crosses val="autoZero"/>
        <c:auto val="1"/>
        <c:lblAlgn val="ctr"/>
        <c:lblOffset val="100"/>
        <c:noMultiLvlLbl val="0"/>
      </c:catAx>
      <c:valAx>
        <c:axId val="17040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55071"/>
        <c:crosses val="autoZero"/>
        <c:crossBetween val="midCat"/>
      </c:valAx>
      <c:spPr>
        <a:noFill/>
        <a:ln>
          <a:noFill/>
        </a:ln>
        <a:effectLst/>
      </c:spPr>
    </c:plotArea>
    <c:plotVisOnly val="1"/>
    <c:dispBlanksAs val="zero"/>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DashBoard.xlsx]Sheet1!PivotTable5</c:name>
    <c:fmtId val="1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wrap="square" lIns="38100" tIns="19050" rIns="38100" bIns="19050" anchor="ctr">
              <a:spAutoFit/>
            </a:bodyPr>
            <a:lstStyle/>
            <a:p>
              <a:pPr>
                <a:defRPr sz="1200">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Sheet1!$H$4</c:f>
              <c:strCache>
                <c:ptCount val="1"/>
                <c:pt idx="0">
                  <c:v>Total</c:v>
                </c:pt>
              </c:strCache>
            </c:strRef>
          </c:tx>
          <c:spPr>
            <a:solidFill>
              <a:schemeClr val="accent1"/>
            </a:solidFill>
            <a:ln w="25400">
              <a:noFill/>
            </a:ln>
            <a:effectLst/>
          </c:spPr>
          <c:dLbls>
            <c:spPr>
              <a:noFill/>
              <a:ln>
                <a:noFill/>
              </a:ln>
              <a:effectLst/>
            </c:spPr>
            <c:txPr>
              <a:bodyPr wrap="square" lIns="38100" tIns="19050" rIns="38100" bIns="19050" anchor="ctr">
                <a:spAutoFit/>
              </a:bodyPr>
              <a:lstStyle/>
              <a:p>
                <a:pPr>
                  <a:defRPr sz="120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Sheet1!$H$5:$H$34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F39E-42AD-B8FB-DF60726C1446}"/>
            </c:ext>
          </c:extLst>
        </c:ser>
        <c:dLbls>
          <c:showLegendKey val="0"/>
          <c:showVal val="0"/>
          <c:showCatName val="0"/>
          <c:showSerName val="0"/>
          <c:showPercent val="0"/>
          <c:showBubbleSize val="0"/>
        </c:dLbls>
        <c:axId val="172155071"/>
        <c:axId val="170403935"/>
      </c:areaChart>
      <c:catAx>
        <c:axId val="172155071"/>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0403935"/>
        <c:crosses val="autoZero"/>
        <c:auto val="1"/>
        <c:lblAlgn val="ctr"/>
        <c:lblOffset val="100"/>
        <c:noMultiLvlLbl val="0"/>
      </c:catAx>
      <c:valAx>
        <c:axId val="170403935"/>
        <c:scaling>
          <c:orientation val="minMax"/>
        </c:scaling>
        <c:delete val="1"/>
        <c:axPos val="l"/>
        <c:numFmt formatCode="General" sourceLinked="1"/>
        <c:majorTickMark val="none"/>
        <c:minorTickMark val="none"/>
        <c:tickLblPos val="nextTo"/>
        <c:crossAx val="172155071"/>
        <c:crosses val="autoZero"/>
        <c:crossBetween val="midCat"/>
      </c:valAx>
      <c:spPr>
        <a:noFill/>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95054724637761E-2"/>
          <c:y val="5.0926294803081577E-2"/>
          <c:w val="0.93888888888888888"/>
          <c:h val="0.89297196252903199"/>
        </c:manualLayout>
      </c:layout>
      <c:areaChart>
        <c:grouping val="standard"/>
        <c:varyColors val="0"/>
        <c:ser>
          <c:idx val="0"/>
          <c:order val="0"/>
          <c:tx>
            <c:strRef>
              <c:f>Sheet1!$H$4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Sheet1!$H$5:$H$34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1-1521-4D5D-AF2F-6D40827CFAD2}"/>
            </c:ext>
          </c:extLst>
        </c:ser>
        <c:dLbls>
          <c:showLegendKey val="0"/>
          <c:showVal val="0"/>
          <c:showCatName val="0"/>
          <c:showSerName val="0"/>
          <c:showPercent val="0"/>
          <c:showBubbleSize val="0"/>
        </c:dLbls>
        <c:axId val="1196599648"/>
        <c:axId val="268114703"/>
      </c:areaChart>
      <c:catAx>
        <c:axId val="119659964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8114703"/>
        <c:crosses val="autoZero"/>
        <c:auto val="1"/>
        <c:lblAlgn val="ctr"/>
        <c:lblOffset val="100"/>
        <c:noMultiLvlLbl val="0"/>
      </c:catAx>
      <c:valAx>
        <c:axId val="268114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6599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 Room DashBoard.xlsx]Sheet1!PivotTable7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Sheet1!$N$5:$N$33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Sheet1!$O$5:$O$33</c:f>
              <c:numCache>
                <c:formatCode>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FAF2-437F-95AB-974F4A4F0895}"/>
            </c:ext>
          </c:extLst>
        </c:ser>
        <c:dLbls>
          <c:showLegendKey val="0"/>
          <c:showVal val="0"/>
          <c:showCatName val="0"/>
          <c:showSerName val="0"/>
          <c:showPercent val="0"/>
          <c:showBubbleSize val="0"/>
        </c:dLbls>
        <c:axId val="271369983"/>
        <c:axId val="271370943"/>
      </c:areaChart>
      <c:catAx>
        <c:axId val="2713699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370943"/>
        <c:crosses val="autoZero"/>
        <c:auto val="1"/>
        <c:lblAlgn val="ctr"/>
        <c:lblOffset val="100"/>
        <c:noMultiLvlLbl val="0"/>
      </c:catAx>
      <c:valAx>
        <c:axId val="27137094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1369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Daily ER No of Patient'!A1"/><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hyperlink" Target="#'Satisfaction Score'!A1"/><Relationship Id="rId2" Type="http://schemas.openxmlformats.org/officeDocument/2006/relationships/image" Target="../media/image2.png"/><Relationship Id="rId16" Type="http://schemas.openxmlformats.org/officeDocument/2006/relationships/chart" Target="../charts/chart3.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chart" Target="../charts/chart9.xml"/><Relationship Id="rId5" Type="http://schemas.openxmlformats.org/officeDocument/2006/relationships/image" Target="../media/image5.svg"/><Relationship Id="rId15" Type="http://schemas.openxmlformats.org/officeDocument/2006/relationships/hyperlink" Target="#Sheet4!A1"/><Relationship Id="rId23" Type="http://schemas.openxmlformats.org/officeDocument/2006/relationships/chart" Target="../charts/chart8.xml"/><Relationship Id="rId10" Type="http://schemas.openxmlformats.org/officeDocument/2006/relationships/image" Target="../media/image10.png"/><Relationship Id="rId19" Type="http://schemas.openxmlformats.org/officeDocument/2006/relationships/image" Target="../media/image13.emf"/><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xml"/><Relationship Id="rId22"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hyperlink" Target="#Sheet2!A1"/><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image" Target="../media/image15.sv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Sheet2!A1"/><Relationship Id="rId1" Type="http://schemas.openxmlformats.org/officeDocument/2006/relationships/chart" Target="../charts/chart12.xml"/><Relationship Id="rId4" Type="http://schemas.openxmlformats.org/officeDocument/2006/relationships/image" Target="../media/image17.sv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xdr:from>
      <xdr:col>5</xdr:col>
      <xdr:colOff>45720</xdr:colOff>
      <xdr:row>8</xdr:row>
      <xdr:rowOff>30480</xdr:rowOff>
    </xdr:from>
    <xdr:to>
      <xdr:col>6</xdr:col>
      <xdr:colOff>0</xdr:colOff>
      <xdr:row>11</xdr:row>
      <xdr:rowOff>15240</xdr:rowOff>
    </xdr:to>
    <xdr:graphicFrame macro="">
      <xdr:nvGraphicFramePr>
        <xdr:cNvPr id="6" name="Chart 5">
          <a:extLst>
            <a:ext uri="{FF2B5EF4-FFF2-40B4-BE49-F238E27FC236}">
              <a16:creationId xmlns:a16="http://schemas.microsoft.com/office/drawing/2014/main" id="{66A1082F-C76A-AF6E-78D8-239E6D8F6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31376</xdr:colOff>
      <xdr:row>0</xdr:row>
      <xdr:rowOff>67235</xdr:rowOff>
    </xdr:from>
    <xdr:to>
      <xdr:col>9</xdr:col>
      <xdr:colOff>125505</xdr:colOff>
      <xdr:row>6</xdr:row>
      <xdr:rowOff>144587</xdr:rowOff>
    </xdr:to>
    <xdr:sp macro="" textlink="">
      <xdr:nvSpPr>
        <xdr:cNvPr id="2" name="Rectangle: Rounded Corners 1">
          <a:extLst>
            <a:ext uri="{FF2B5EF4-FFF2-40B4-BE49-F238E27FC236}">
              <a16:creationId xmlns:a16="http://schemas.microsoft.com/office/drawing/2014/main" id="{F6106963-52A1-48B8-8654-5D6135A62E43}"/>
            </a:ext>
          </a:extLst>
        </xdr:cNvPr>
        <xdr:cNvSpPr/>
      </xdr:nvSpPr>
      <xdr:spPr>
        <a:xfrm>
          <a:off x="4298576" y="67235"/>
          <a:ext cx="1313329"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165847</xdr:colOff>
      <xdr:row>0</xdr:row>
      <xdr:rowOff>62752</xdr:rowOff>
    </xdr:from>
    <xdr:to>
      <xdr:col>11</xdr:col>
      <xdr:colOff>259975</xdr:colOff>
      <xdr:row>6</xdr:row>
      <xdr:rowOff>140104</xdr:rowOff>
    </xdr:to>
    <xdr:sp macro="" textlink="">
      <xdr:nvSpPr>
        <xdr:cNvPr id="3" name="Rectangle: Rounded Corners 2">
          <a:extLst>
            <a:ext uri="{FF2B5EF4-FFF2-40B4-BE49-F238E27FC236}">
              <a16:creationId xmlns:a16="http://schemas.microsoft.com/office/drawing/2014/main" id="{C637E5E7-1DDB-F6DD-9126-6386B24DB1CA}"/>
            </a:ext>
          </a:extLst>
        </xdr:cNvPr>
        <xdr:cNvSpPr/>
      </xdr:nvSpPr>
      <xdr:spPr>
        <a:xfrm>
          <a:off x="5652247" y="62752"/>
          <a:ext cx="1313328" cy="1180011"/>
        </a:xfrm>
        <a:prstGeom prst="roundRect">
          <a:avLst>
            <a:gd name="adj" fmla="val 5969"/>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58271</xdr:colOff>
      <xdr:row>0</xdr:row>
      <xdr:rowOff>71717</xdr:rowOff>
    </xdr:from>
    <xdr:to>
      <xdr:col>5</xdr:col>
      <xdr:colOff>219379</xdr:colOff>
      <xdr:row>3</xdr:row>
      <xdr:rowOff>12422</xdr:rowOff>
    </xdr:to>
    <xdr:sp macro="" textlink="">
      <xdr:nvSpPr>
        <xdr:cNvPr id="4" name="Rectangle: Rounded Corners 3">
          <a:extLst>
            <a:ext uri="{FF2B5EF4-FFF2-40B4-BE49-F238E27FC236}">
              <a16:creationId xmlns:a16="http://schemas.microsoft.com/office/drawing/2014/main" id="{DF40D8E5-5EF2-417F-B848-9257753DF30D}"/>
            </a:ext>
          </a:extLst>
        </xdr:cNvPr>
        <xdr:cNvSpPr/>
      </xdr:nvSpPr>
      <xdr:spPr>
        <a:xfrm>
          <a:off x="58271" y="71717"/>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251011</xdr:colOff>
      <xdr:row>0</xdr:row>
      <xdr:rowOff>71718</xdr:rowOff>
    </xdr:from>
    <xdr:to>
      <xdr:col>7</xdr:col>
      <xdr:colOff>11524</xdr:colOff>
      <xdr:row>3</xdr:row>
      <xdr:rowOff>12423</xdr:rowOff>
    </xdr:to>
    <xdr:sp macro="" textlink="">
      <xdr:nvSpPr>
        <xdr:cNvPr id="5" name="Rectangle: Rounded Corners 4">
          <a:extLst>
            <a:ext uri="{FF2B5EF4-FFF2-40B4-BE49-F238E27FC236}">
              <a16:creationId xmlns:a16="http://schemas.microsoft.com/office/drawing/2014/main" id="{112F2C21-5478-4890-A868-D279D52F0725}"/>
            </a:ext>
          </a:extLst>
        </xdr:cNvPr>
        <xdr:cNvSpPr/>
      </xdr:nvSpPr>
      <xdr:spPr>
        <a:xfrm>
          <a:off x="3299011" y="71718"/>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94130</xdr:colOff>
      <xdr:row>3</xdr:row>
      <xdr:rowOff>71718</xdr:rowOff>
    </xdr:from>
    <xdr:to>
      <xdr:col>4</xdr:col>
      <xdr:colOff>608451</xdr:colOff>
      <xdr:row>7</xdr:row>
      <xdr:rowOff>68133</xdr:rowOff>
    </xdr:to>
    <xdr:sp macro="" textlink="">
      <xdr:nvSpPr>
        <xdr:cNvPr id="6" name="Rectangle: Rounded Corners 5">
          <a:extLst>
            <a:ext uri="{FF2B5EF4-FFF2-40B4-BE49-F238E27FC236}">
              <a16:creationId xmlns:a16="http://schemas.microsoft.com/office/drawing/2014/main" id="{B27E02A4-D04C-496C-8B13-9A82E792B679}"/>
            </a:ext>
          </a:extLst>
        </xdr:cNvPr>
        <xdr:cNvSpPr/>
      </xdr:nvSpPr>
      <xdr:spPr>
        <a:xfrm>
          <a:off x="1922930" y="623047"/>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174812</xdr:colOff>
      <xdr:row>3</xdr:row>
      <xdr:rowOff>67236</xdr:rowOff>
    </xdr:from>
    <xdr:to>
      <xdr:col>3</xdr:col>
      <xdr:colOff>79533</xdr:colOff>
      <xdr:row>7</xdr:row>
      <xdr:rowOff>63651</xdr:rowOff>
    </xdr:to>
    <xdr:sp macro="" textlink="">
      <xdr:nvSpPr>
        <xdr:cNvPr id="7" name="Rectangle: Rounded Corners 6">
          <a:extLst>
            <a:ext uri="{FF2B5EF4-FFF2-40B4-BE49-F238E27FC236}">
              <a16:creationId xmlns:a16="http://schemas.microsoft.com/office/drawing/2014/main" id="{303C10B5-8691-6E0A-A94C-9A9741EA6048}"/>
            </a:ext>
          </a:extLst>
        </xdr:cNvPr>
        <xdr:cNvSpPr/>
      </xdr:nvSpPr>
      <xdr:spPr>
        <a:xfrm>
          <a:off x="784412" y="618565"/>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49307</xdr:colOff>
      <xdr:row>3</xdr:row>
      <xdr:rowOff>71719</xdr:rowOff>
    </xdr:from>
    <xdr:to>
      <xdr:col>6</xdr:col>
      <xdr:colOff>563628</xdr:colOff>
      <xdr:row>7</xdr:row>
      <xdr:rowOff>68134</xdr:rowOff>
    </xdr:to>
    <xdr:sp macro="" textlink="">
      <xdr:nvSpPr>
        <xdr:cNvPr id="8" name="Rectangle: Rounded Corners 7">
          <a:extLst>
            <a:ext uri="{FF2B5EF4-FFF2-40B4-BE49-F238E27FC236}">
              <a16:creationId xmlns:a16="http://schemas.microsoft.com/office/drawing/2014/main" id="{435DFAB8-97A7-CCA2-83DE-1D32F8D2E34A}"/>
            </a:ext>
          </a:extLst>
        </xdr:cNvPr>
        <xdr:cNvSpPr/>
      </xdr:nvSpPr>
      <xdr:spPr>
        <a:xfrm>
          <a:off x="3097307" y="62304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71718</xdr:colOff>
      <xdr:row>3</xdr:row>
      <xdr:rowOff>58271</xdr:rowOff>
    </xdr:from>
    <xdr:to>
      <xdr:col>1</xdr:col>
      <xdr:colOff>141386</xdr:colOff>
      <xdr:row>15</xdr:row>
      <xdr:rowOff>82348</xdr:rowOff>
    </xdr:to>
    <xdr:sp macro="" textlink="">
      <xdr:nvSpPr>
        <xdr:cNvPr id="10" name="Rectangle: Rounded Corners 9">
          <a:extLst>
            <a:ext uri="{FF2B5EF4-FFF2-40B4-BE49-F238E27FC236}">
              <a16:creationId xmlns:a16="http://schemas.microsoft.com/office/drawing/2014/main" id="{C696E07E-D085-4D42-B724-5D69FC396FD1}"/>
            </a:ext>
          </a:extLst>
        </xdr:cNvPr>
        <xdr:cNvSpPr/>
      </xdr:nvSpPr>
      <xdr:spPr>
        <a:xfrm>
          <a:off x="71718" y="609600"/>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170329</xdr:colOff>
      <xdr:row>7</xdr:row>
      <xdr:rowOff>112059</xdr:rowOff>
    </xdr:from>
    <xdr:to>
      <xdr:col>7</xdr:col>
      <xdr:colOff>22282</xdr:colOff>
      <xdr:row>9</xdr:row>
      <xdr:rowOff>153809</xdr:rowOff>
    </xdr:to>
    <xdr:sp macro="" textlink="">
      <xdr:nvSpPr>
        <xdr:cNvPr id="11" name="Rectangle: Rounded Corners 10">
          <a:extLst>
            <a:ext uri="{FF2B5EF4-FFF2-40B4-BE49-F238E27FC236}">
              <a16:creationId xmlns:a16="http://schemas.microsoft.com/office/drawing/2014/main" id="{F8CDE63A-D02B-443B-9990-96809D17A24F}"/>
            </a:ext>
          </a:extLst>
        </xdr:cNvPr>
        <xdr:cNvSpPr/>
      </xdr:nvSpPr>
      <xdr:spPr>
        <a:xfrm>
          <a:off x="779929" y="1398494"/>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179294</xdr:colOff>
      <xdr:row>10</xdr:row>
      <xdr:rowOff>4482</xdr:rowOff>
    </xdr:from>
    <xdr:to>
      <xdr:col>7</xdr:col>
      <xdr:colOff>35602</xdr:colOff>
      <xdr:row>15</xdr:row>
      <xdr:rowOff>74023</xdr:rowOff>
    </xdr:to>
    <xdr:sp macro="" textlink="">
      <xdr:nvSpPr>
        <xdr:cNvPr id="12" name="Rectangle: Rounded Corners 11">
          <a:extLst>
            <a:ext uri="{FF2B5EF4-FFF2-40B4-BE49-F238E27FC236}">
              <a16:creationId xmlns:a16="http://schemas.microsoft.com/office/drawing/2014/main" id="{EB5F8B9A-71DA-4517-A8D2-517BCB710C0D}"/>
            </a:ext>
          </a:extLst>
        </xdr:cNvPr>
        <xdr:cNvSpPr/>
      </xdr:nvSpPr>
      <xdr:spPr>
        <a:xfrm>
          <a:off x="788894" y="184224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103092</xdr:colOff>
      <xdr:row>7</xdr:row>
      <xdr:rowOff>80683</xdr:rowOff>
    </xdr:from>
    <xdr:to>
      <xdr:col>11</xdr:col>
      <xdr:colOff>259846</xdr:colOff>
      <xdr:row>15</xdr:row>
      <xdr:rowOff>76200</xdr:rowOff>
    </xdr:to>
    <xdr:sp macro="" textlink="">
      <xdr:nvSpPr>
        <xdr:cNvPr id="13" name="Rectangle: Rounded Corners 12">
          <a:extLst>
            <a:ext uri="{FF2B5EF4-FFF2-40B4-BE49-F238E27FC236}">
              <a16:creationId xmlns:a16="http://schemas.microsoft.com/office/drawing/2014/main" id="{E4EDAF41-1181-42C6-894C-D3C8164A4988}"/>
            </a:ext>
          </a:extLst>
        </xdr:cNvPr>
        <xdr:cNvSpPr/>
      </xdr:nvSpPr>
      <xdr:spPr>
        <a:xfrm>
          <a:off x="4370292" y="1367118"/>
          <a:ext cx="2595154" cy="1465729"/>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0</xdr:col>
      <xdr:colOff>17930</xdr:colOff>
      <xdr:row>0</xdr:row>
      <xdr:rowOff>31376</xdr:rowOff>
    </xdr:from>
    <xdr:to>
      <xdr:col>1</xdr:col>
      <xdr:colOff>83246</xdr:colOff>
      <xdr:row>3</xdr:row>
      <xdr:rowOff>18641</xdr:rowOff>
    </xdr:to>
    <xdr:pic>
      <xdr:nvPicPr>
        <xdr:cNvPr id="14" name="Picture 13" descr="A blue hospital building with a cross&#10;&#10;AI-generated content may be incorrect.">
          <a:extLst>
            <a:ext uri="{FF2B5EF4-FFF2-40B4-BE49-F238E27FC236}">
              <a16:creationId xmlns:a16="http://schemas.microsoft.com/office/drawing/2014/main" id="{C7FD62F7-7F60-40BC-9E6B-0EE92BAFAEA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17930" y="31376"/>
          <a:ext cx="674916" cy="538594"/>
        </a:xfrm>
        <a:prstGeom prst="rect">
          <a:avLst/>
        </a:prstGeom>
      </xdr:spPr>
    </xdr:pic>
    <xdr:clientData/>
  </xdr:twoCellAnchor>
  <xdr:twoCellAnchor editAs="oneCell">
    <xdr:from>
      <xdr:col>1</xdr:col>
      <xdr:colOff>107577</xdr:colOff>
      <xdr:row>0</xdr:row>
      <xdr:rowOff>40341</xdr:rowOff>
    </xdr:from>
    <xdr:to>
      <xdr:col>5</xdr:col>
      <xdr:colOff>156561</xdr:colOff>
      <xdr:row>1</xdr:row>
      <xdr:rowOff>179681</xdr:rowOff>
    </xdr:to>
    <xdr:pic>
      <xdr:nvPicPr>
        <xdr:cNvPr id="15" name="Picture 14">
          <a:extLst>
            <a:ext uri="{FF2B5EF4-FFF2-40B4-BE49-F238E27FC236}">
              <a16:creationId xmlns:a16="http://schemas.microsoft.com/office/drawing/2014/main" id="{85A568BE-69DA-D689-65E5-604588E6C521}"/>
            </a:ext>
          </a:extLst>
        </xdr:cNvPr>
        <xdr:cNvPicPr>
          <a:picLocks noChangeAspect="1"/>
        </xdr:cNvPicPr>
      </xdr:nvPicPr>
      <xdr:blipFill>
        <a:blip xmlns:r="http://schemas.openxmlformats.org/officeDocument/2006/relationships" r:embed="rId2"/>
        <a:stretch>
          <a:fillRect/>
        </a:stretch>
      </xdr:blipFill>
      <xdr:spPr>
        <a:xfrm>
          <a:off x="717177" y="40341"/>
          <a:ext cx="2487384" cy="323116"/>
        </a:xfrm>
        <a:prstGeom prst="rect">
          <a:avLst/>
        </a:prstGeom>
      </xdr:spPr>
    </xdr:pic>
    <xdr:clientData/>
  </xdr:twoCellAnchor>
  <xdr:twoCellAnchor editAs="oneCell">
    <xdr:from>
      <xdr:col>2</xdr:col>
      <xdr:colOff>228600</xdr:colOff>
      <xdr:row>1</xdr:row>
      <xdr:rowOff>80682</xdr:rowOff>
    </xdr:from>
    <xdr:to>
      <xdr:col>3</xdr:col>
      <xdr:colOff>472514</xdr:colOff>
      <xdr:row>2</xdr:row>
      <xdr:rowOff>146863</xdr:rowOff>
    </xdr:to>
    <xdr:pic>
      <xdr:nvPicPr>
        <xdr:cNvPr id="16" name="Picture 15">
          <a:extLst>
            <a:ext uri="{FF2B5EF4-FFF2-40B4-BE49-F238E27FC236}">
              <a16:creationId xmlns:a16="http://schemas.microsoft.com/office/drawing/2014/main" id="{480B17EF-515D-242C-E986-23CDB1814A85}"/>
            </a:ext>
          </a:extLst>
        </xdr:cNvPr>
        <xdr:cNvPicPr>
          <a:picLocks noChangeAspect="1"/>
        </xdr:cNvPicPr>
      </xdr:nvPicPr>
      <xdr:blipFill>
        <a:blip xmlns:r="http://schemas.openxmlformats.org/officeDocument/2006/relationships" r:embed="rId3"/>
        <a:stretch>
          <a:fillRect/>
        </a:stretch>
      </xdr:blipFill>
      <xdr:spPr>
        <a:xfrm>
          <a:off x="1447800" y="264458"/>
          <a:ext cx="853514" cy="249958"/>
        </a:xfrm>
        <a:prstGeom prst="rect">
          <a:avLst/>
        </a:prstGeom>
      </xdr:spPr>
    </xdr:pic>
    <xdr:clientData/>
  </xdr:twoCellAnchor>
  <xdr:twoCellAnchor editAs="oneCell">
    <xdr:from>
      <xdr:col>2</xdr:col>
      <xdr:colOff>479611</xdr:colOff>
      <xdr:row>3</xdr:row>
      <xdr:rowOff>89647</xdr:rowOff>
    </xdr:from>
    <xdr:to>
      <xdr:col>3</xdr:col>
      <xdr:colOff>85164</xdr:colOff>
      <xdr:row>4</xdr:row>
      <xdr:rowOff>119228</xdr:rowOff>
    </xdr:to>
    <xdr:pic>
      <xdr:nvPicPr>
        <xdr:cNvPr id="17" name="Graphic 16" descr="Male profile with solid fill">
          <a:extLst>
            <a:ext uri="{FF2B5EF4-FFF2-40B4-BE49-F238E27FC236}">
              <a16:creationId xmlns:a16="http://schemas.microsoft.com/office/drawing/2014/main" id="{C51362B9-C246-41A1-A3A2-F21776DC790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98811" y="640976"/>
          <a:ext cx="215153" cy="213358"/>
        </a:xfrm>
        <a:prstGeom prst="rect">
          <a:avLst/>
        </a:prstGeom>
      </xdr:spPr>
    </xdr:pic>
    <xdr:clientData/>
  </xdr:twoCellAnchor>
  <xdr:twoCellAnchor editAs="oneCell">
    <xdr:from>
      <xdr:col>4</xdr:col>
      <xdr:colOff>403412</xdr:colOff>
      <xdr:row>3</xdr:row>
      <xdr:rowOff>80683</xdr:rowOff>
    </xdr:from>
    <xdr:to>
      <xdr:col>4</xdr:col>
      <xdr:colOff>586291</xdr:colOff>
      <xdr:row>4</xdr:row>
      <xdr:rowOff>79785</xdr:rowOff>
    </xdr:to>
    <xdr:pic>
      <xdr:nvPicPr>
        <xdr:cNvPr id="19" name="Graphic 18" descr="Hourglass Full with solid fill">
          <a:extLst>
            <a:ext uri="{FF2B5EF4-FFF2-40B4-BE49-F238E27FC236}">
              <a16:creationId xmlns:a16="http://schemas.microsoft.com/office/drawing/2014/main" id="{9BE6130E-074F-C805-4C4A-03A7840ED91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41812" y="632012"/>
          <a:ext cx="182879" cy="182879"/>
        </a:xfrm>
        <a:prstGeom prst="rect">
          <a:avLst/>
        </a:prstGeom>
      </xdr:spPr>
    </xdr:pic>
    <xdr:clientData/>
  </xdr:twoCellAnchor>
  <xdr:twoCellAnchor editAs="oneCell">
    <xdr:from>
      <xdr:col>6</xdr:col>
      <xdr:colOff>327213</xdr:colOff>
      <xdr:row>3</xdr:row>
      <xdr:rowOff>58272</xdr:rowOff>
    </xdr:from>
    <xdr:to>
      <xdr:col>6</xdr:col>
      <xdr:colOff>557990</xdr:colOff>
      <xdr:row>4</xdr:row>
      <xdr:rowOff>76201</xdr:rowOff>
    </xdr:to>
    <xdr:pic>
      <xdr:nvPicPr>
        <xdr:cNvPr id="21" name="Graphic 20" descr="Rating with solid fill">
          <a:extLst>
            <a:ext uri="{FF2B5EF4-FFF2-40B4-BE49-F238E27FC236}">
              <a16:creationId xmlns:a16="http://schemas.microsoft.com/office/drawing/2014/main" id="{DB7ADE05-3AAE-3BC6-73C9-AB853009A68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84813" y="609601"/>
          <a:ext cx="230777" cy="201706"/>
        </a:xfrm>
        <a:prstGeom prst="rect">
          <a:avLst/>
        </a:prstGeom>
      </xdr:spPr>
    </xdr:pic>
    <xdr:clientData/>
  </xdr:twoCellAnchor>
  <xdr:twoCellAnchor editAs="absolute">
    <xdr:from>
      <xdr:col>1</xdr:col>
      <xdr:colOff>259977</xdr:colOff>
      <xdr:row>3</xdr:row>
      <xdr:rowOff>80682</xdr:rowOff>
    </xdr:from>
    <xdr:to>
      <xdr:col>2</xdr:col>
      <xdr:colOff>493059</xdr:colOff>
      <xdr:row>4</xdr:row>
      <xdr:rowOff>44951</xdr:rowOff>
    </xdr:to>
    <xdr:sp macro="" textlink="Sheet1!A5">
      <xdr:nvSpPr>
        <xdr:cNvPr id="22" name="TextBox 21">
          <a:extLst>
            <a:ext uri="{FF2B5EF4-FFF2-40B4-BE49-F238E27FC236}">
              <a16:creationId xmlns:a16="http://schemas.microsoft.com/office/drawing/2014/main" id="{A60DAD55-8722-4041-AA46-C97911E44DDC}"/>
            </a:ext>
          </a:extLst>
        </xdr:cNvPr>
        <xdr:cNvSpPr txBox="1"/>
      </xdr:nvSpPr>
      <xdr:spPr>
        <a:xfrm>
          <a:off x="869577" y="632011"/>
          <a:ext cx="842682"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700ED4C-8B42-4D5E-B574-62F6B9FB8987}" type="TxLink">
            <a:rPr lang="en-US" sz="800" b="0" i="0" u="none" strike="noStrike" kern="1200">
              <a:solidFill>
                <a:srgbClr val="000000"/>
              </a:solidFill>
              <a:latin typeface="Calibri"/>
              <a:cs typeface="Calibri"/>
            </a:rPr>
            <a:pPr algn="ctr"/>
            <a:t>431</a:t>
          </a:fld>
          <a:endParaRPr lang="en-US" sz="800" b="0" i="0" u="none" strike="noStrike" kern="1200">
            <a:solidFill>
              <a:srgbClr val="000000"/>
            </a:solidFill>
            <a:latin typeface="Aptos Narrow"/>
          </a:endParaRPr>
        </a:p>
      </xdr:txBody>
    </xdr:sp>
    <xdr:clientData/>
  </xdr:twoCellAnchor>
  <xdr:twoCellAnchor editAs="oneCell">
    <xdr:from>
      <xdr:col>1</xdr:col>
      <xdr:colOff>318247</xdr:colOff>
      <xdr:row>4</xdr:row>
      <xdr:rowOff>17930</xdr:rowOff>
    </xdr:from>
    <xdr:to>
      <xdr:col>2</xdr:col>
      <xdr:colOff>397555</xdr:colOff>
      <xdr:row>5</xdr:row>
      <xdr:rowOff>40342</xdr:rowOff>
    </xdr:to>
    <xdr:pic>
      <xdr:nvPicPr>
        <xdr:cNvPr id="23" name="Picture 22">
          <a:extLst>
            <a:ext uri="{FF2B5EF4-FFF2-40B4-BE49-F238E27FC236}">
              <a16:creationId xmlns:a16="http://schemas.microsoft.com/office/drawing/2014/main" id="{BEA736F1-3B91-66BC-6AEC-F4CAEE6A7FF4}"/>
            </a:ext>
          </a:extLst>
        </xdr:cNvPr>
        <xdr:cNvPicPr>
          <a:picLocks noChangeAspect="1"/>
        </xdr:cNvPicPr>
      </xdr:nvPicPr>
      <xdr:blipFill>
        <a:blip xmlns:r="http://schemas.openxmlformats.org/officeDocument/2006/relationships" r:embed="rId10"/>
        <a:stretch>
          <a:fillRect/>
        </a:stretch>
      </xdr:blipFill>
      <xdr:spPr>
        <a:xfrm>
          <a:off x="927847" y="753036"/>
          <a:ext cx="688908" cy="206188"/>
        </a:xfrm>
        <a:prstGeom prst="rect">
          <a:avLst/>
        </a:prstGeom>
      </xdr:spPr>
    </xdr:pic>
    <xdr:clientData/>
  </xdr:twoCellAnchor>
  <xdr:twoCellAnchor editAs="absolute">
    <xdr:from>
      <xdr:col>3</xdr:col>
      <xdr:colOff>94130</xdr:colOff>
      <xdr:row>3</xdr:row>
      <xdr:rowOff>71718</xdr:rowOff>
    </xdr:from>
    <xdr:to>
      <xdr:col>4</xdr:col>
      <xdr:colOff>327212</xdr:colOff>
      <xdr:row>4</xdr:row>
      <xdr:rowOff>35987</xdr:rowOff>
    </xdr:to>
    <xdr:sp macro="" textlink="Sheet1!A9">
      <xdr:nvSpPr>
        <xdr:cNvPr id="24" name="TextBox 23">
          <a:extLst>
            <a:ext uri="{FF2B5EF4-FFF2-40B4-BE49-F238E27FC236}">
              <a16:creationId xmlns:a16="http://schemas.microsoft.com/office/drawing/2014/main" id="{0DBECED2-81DA-4797-A56C-4AD905ACA7FF}"/>
            </a:ext>
          </a:extLst>
        </xdr:cNvPr>
        <xdr:cNvSpPr txBox="1"/>
      </xdr:nvSpPr>
      <xdr:spPr>
        <a:xfrm>
          <a:off x="1922930" y="623047"/>
          <a:ext cx="842682"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0563C18-6C86-4065-A7DD-647A1515B4C3}" type="TxLink">
            <a:rPr lang="en-US" sz="800" b="0" i="0" u="none" strike="noStrike" kern="1200">
              <a:solidFill>
                <a:srgbClr val="000000"/>
              </a:solidFill>
              <a:latin typeface="Calibri"/>
              <a:cs typeface="Calibri"/>
            </a:rPr>
            <a:pPr algn="ctr"/>
            <a:t>36.7</a:t>
          </a:fld>
          <a:endParaRPr lang="en-IN" sz="800" kern="1200"/>
        </a:p>
      </xdr:txBody>
    </xdr:sp>
    <xdr:clientData/>
  </xdr:twoCellAnchor>
  <xdr:twoCellAnchor editAs="absolute">
    <xdr:from>
      <xdr:col>5</xdr:col>
      <xdr:colOff>49307</xdr:colOff>
      <xdr:row>3</xdr:row>
      <xdr:rowOff>71719</xdr:rowOff>
    </xdr:from>
    <xdr:to>
      <xdr:col>6</xdr:col>
      <xdr:colOff>282389</xdr:colOff>
      <xdr:row>4</xdr:row>
      <xdr:rowOff>35988</xdr:rowOff>
    </xdr:to>
    <xdr:sp macro="" textlink="Sheet1!A13">
      <xdr:nvSpPr>
        <xdr:cNvPr id="26" name="TextBox 25">
          <a:extLst>
            <a:ext uri="{FF2B5EF4-FFF2-40B4-BE49-F238E27FC236}">
              <a16:creationId xmlns:a16="http://schemas.microsoft.com/office/drawing/2014/main" id="{D3EC0ED5-BF70-40CD-BE08-14233C01463D}"/>
            </a:ext>
          </a:extLst>
        </xdr:cNvPr>
        <xdr:cNvSpPr txBox="1"/>
      </xdr:nvSpPr>
      <xdr:spPr>
        <a:xfrm>
          <a:off x="3097307" y="623048"/>
          <a:ext cx="842682"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1A34B63-6C36-445B-9E39-E46295478A4F}" type="TxLink">
            <a:rPr lang="en-US" sz="800" b="0" i="0" u="none" strike="noStrike" kern="1200">
              <a:solidFill>
                <a:srgbClr val="000000"/>
              </a:solidFill>
              <a:latin typeface="Calibri"/>
              <a:cs typeface="Calibri"/>
            </a:rPr>
            <a:pPr algn="ctr"/>
            <a:t>4.7</a:t>
          </a:fld>
          <a:endParaRPr lang="en-IN" sz="800" kern="1200"/>
        </a:p>
      </xdr:txBody>
    </xdr:sp>
    <xdr:clientData/>
  </xdr:twoCellAnchor>
  <xdr:twoCellAnchor editAs="oneCell">
    <xdr:from>
      <xdr:col>3</xdr:col>
      <xdr:colOff>116542</xdr:colOff>
      <xdr:row>4</xdr:row>
      <xdr:rowOff>0</xdr:rowOff>
    </xdr:from>
    <xdr:to>
      <xdr:col>4</xdr:col>
      <xdr:colOff>378746</xdr:colOff>
      <xdr:row>5</xdr:row>
      <xdr:rowOff>22412</xdr:rowOff>
    </xdr:to>
    <xdr:pic>
      <xdr:nvPicPr>
        <xdr:cNvPr id="28" name="Picture 27">
          <a:extLst>
            <a:ext uri="{FF2B5EF4-FFF2-40B4-BE49-F238E27FC236}">
              <a16:creationId xmlns:a16="http://schemas.microsoft.com/office/drawing/2014/main" id="{482B1B96-1448-A282-D3FB-52E0B33A8881}"/>
            </a:ext>
          </a:extLst>
        </xdr:cNvPr>
        <xdr:cNvPicPr>
          <a:picLocks noChangeAspect="1"/>
        </xdr:cNvPicPr>
      </xdr:nvPicPr>
      <xdr:blipFill>
        <a:blip xmlns:r="http://schemas.openxmlformats.org/officeDocument/2006/relationships" r:embed="rId11"/>
        <a:stretch>
          <a:fillRect/>
        </a:stretch>
      </xdr:blipFill>
      <xdr:spPr>
        <a:xfrm>
          <a:off x="1945342" y="735106"/>
          <a:ext cx="871804" cy="206188"/>
        </a:xfrm>
        <a:prstGeom prst="rect">
          <a:avLst/>
        </a:prstGeom>
      </xdr:spPr>
    </xdr:pic>
    <xdr:clientData/>
  </xdr:twoCellAnchor>
  <xdr:twoCellAnchor editAs="oneCell">
    <xdr:from>
      <xdr:col>5</xdr:col>
      <xdr:colOff>1</xdr:colOff>
      <xdr:row>4</xdr:row>
      <xdr:rowOff>13448</xdr:rowOff>
    </xdr:from>
    <xdr:to>
      <xdr:col>6</xdr:col>
      <xdr:colOff>579224</xdr:colOff>
      <xdr:row>5</xdr:row>
      <xdr:rowOff>53789</xdr:rowOff>
    </xdr:to>
    <xdr:pic>
      <xdr:nvPicPr>
        <xdr:cNvPr id="29" name="Picture 28">
          <a:extLst>
            <a:ext uri="{FF2B5EF4-FFF2-40B4-BE49-F238E27FC236}">
              <a16:creationId xmlns:a16="http://schemas.microsoft.com/office/drawing/2014/main" id="{7A21B9B8-3992-AED3-EFC0-5CC979C3785D}"/>
            </a:ext>
          </a:extLst>
        </xdr:cNvPr>
        <xdr:cNvPicPr>
          <a:picLocks noChangeAspect="1"/>
        </xdr:cNvPicPr>
      </xdr:nvPicPr>
      <xdr:blipFill>
        <a:blip xmlns:r="http://schemas.openxmlformats.org/officeDocument/2006/relationships" r:embed="rId12"/>
        <a:stretch>
          <a:fillRect/>
        </a:stretch>
      </xdr:blipFill>
      <xdr:spPr>
        <a:xfrm>
          <a:off x="3048001" y="748554"/>
          <a:ext cx="1188823" cy="224117"/>
        </a:xfrm>
        <a:prstGeom prst="rect">
          <a:avLst/>
        </a:prstGeom>
      </xdr:spPr>
    </xdr:pic>
    <xdr:clientData/>
  </xdr:twoCellAnchor>
  <xdr:twoCellAnchor editAs="oneCell">
    <xdr:from>
      <xdr:col>0</xdr:col>
      <xdr:colOff>67236</xdr:colOff>
      <xdr:row>3</xdr:row>
      <xdr:rowOff>71719</xdr:rowOff>
    </xdr:from>
    <xdr:to>
      <xdr:col>1</xdr:col>
      <xdr:colOff>143436</xdr:colOff>
      <xdr:row>15</xdr:row>
      <xdr:rowOff>58271</xdr:rowOff>
    </xdr:to>
    <mc:AlternateContent xmlns:mc="http://schemas.openxmlformats.org/markup-compatibility/2006" xmlns:a14="http://schemas.microsoft.com/office/drawing/2010/main">
      <mc:Choice Requires="a14">
        <xdr:graphicFrame macro="">
          <xdr:nvGraphicFramePr>
            <xdr:cNvPr id="30" name="Date (Month)">
              <a:extLst>
                <a:ext uri="{FF2B5EF4-FFF2-40B4-BE49-F238E27FC236}">
                  <a16:creationId xmlns:a16="http://schemas.microsoft.com/office/drawing/2014/main" id="{C8A3FBCF-99F2-4127-8850-B7BCD9CD120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7236" y="623048"/>
              <a:ext cx="685800" cy="2191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170328</xdr:colOff>
      <xdr:row>5</xdr:row>
      <xdr:rowOff>31377</xdr:rowOff>
    </xdr:from>
    <xdr:to>
      <xdr:col>3</xdr:col>
      <xdr:colOff>76199</xdr:colOff>
      <xdr:row>7</xdr:row>
      <xdr:rowOff>80682</xdr:rowOff>
    </xdr:to>
    <xdr:graphicFrame macro="">
      <xdr:nvGraphicFramePr>
        <xdr:cNvPr id="32" name="Chart 31">
          <a:hlinkClick xmlns:r="http://schemas.openxmlformats.org/officeDocument/2006/relationships" r:id="rId13"/>
          <a:extLst>
            <a:ext uri="{FF2B5EF4-FFF2-40B4-BE49-F238E27FC236}">
              <a16:creationId xmlns:a16="http://schemas.microsoft.com/office/drawing/2014/main" id="{FC39E904-A55B-3A3F-DDFB-A7AEB6CA0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58270</xdr:colOff>
      <xdr:row>5</xdr:row>
      <xdr:rowOff>4482</xdr:rowOff>
    </xdr:from>
    <xdr:to>
      <xdr:col>4</xdr:col>
      <xdr:colOff>600635</xdr:colOff>
      <xdr:row>7</xdr:row>
      <xdr:rowOff>62752</xdr:rowOff>
    </xdr:to>
    <xdr:graphicFrame macro="">
      <xdr:nvGraphicFramePr>
        <xdr:cNvPr id="34" name="Chart 33">
          <a:hlinkClick xmlns:r="http://schemas.openxmlformats.org/officeDocument/2006/relationships" r:id="rId15"/>
          <a:extLst>
            <a:ext uri="{FF2B5EF4-FFF2-40B4-BE49-F238E27FC236}">
              <a16:creationId xmlns:a16="http://schemas.microsoft.com/office/drawing/2014/main" id="{2E222E42-3A73-4AB7-BB55-68757A328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67235</xdr:colOff>
      <xdr:row>4</xdr:row>
      <xdr:rowOff>134470</xdr:rowOff>
    </xdr:from>
    <xdr:to>
      <xdr:col>6</xdr:col>
      <xdr:colOff>546847</xdr:colOff>
      <xdr:row>7</xdr:row>
      <xdr:rowOff>58271</xdr:rowOff>
    </xdr:to>
    <xdr:graphicFrame macro="">
      <xdr:nvGraphicFramePr>
        <xdr:cNvPr id="35" name="Chart 34">
          <a:hlinkClick xmlns:r="http://schemas.openxmlformats.org/officeDocument/2006/relationships" r:id="rId17"/>
          <a:extLst>
            <a:ext uri="{FF2B5EF4-FFF2-40B4-BE49-F238E27FC236}">
              <a16:creationId xmlns:a16="http://schemas.microsoft.com/office/drawing/2014/main" id="{C1101648-1DC7-4643-A545-04A8BE04C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242047</xdr:colOff>
      <xdr:row>7</xdr:row>
      <xdr:rowOff>121024</xdr:rowOff>
    </xdr:from>
    <xdr:to>
      <xdr:col>4</xdr:col>
      <xdr:colOff>389965</xdr:colOff>
      <xdr:row>9</xdr:row>
      <xdr:rowOff>129989</xdr:rowOff>
    </xdr:to>
    <xdr:pic>
      <xdr:nvPicPr>
        <xdr:cNvPr id="42" name="Picture 41">
          <a:extLst>
            <a:ext uri="{FF2B5EF4-FFF2-40B4-BE49-F238E27FC236}">
              <a16:creationId xmlns:a16="http://schemas.microsoft.com/office/drawing/2014/main" id="{292A239E-6532-1709-AAA0-65E344088B7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51647" y="1407459"/>
          <a:ext cx="1976718" cy="376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439272</xdr:colOff>
      <xdr:row>7</xdr:row>
      <xdr:rowOff>103094</xdr:rowOff>
    </xdr:from>
    <xdr:to>
      <xdr:col>6</xdr:col>
      <xdr:colOff>578224</xdr:colOff>
      <xdr:row>9</xdr:row>
      <xdr:rowOff>143436</xdr:rowOff>
    </xdr:to>
    <xdr:graphicFrame macro="">
      <xdr:nvGraphicFramePr>
        <xdr:cNvPr id="43" name="Chart 42">
          <a:extLst>
            <a:ext uri="{FF2B5EF4-FFF2-40B4-BE49-F238E27FC236}">
              <a16:creationId xmlns:a16="http://schemas.microsoft.com/office/drawing/2014/main" id="{8D0903A9-9824-4657-99DA-1AB38937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224118</xdr:colOff>
      <xdr:row>10</xdr:row>
      <xdr:rowOff>17929</xdr:rowOff>
    </xdr:from>
    <xdr:to>
      <xdr:col>6</xdr:col>
      <xdr:colOff>596153</xdr:colOff>
      <xdr:row>15</xdr:row>
      <xdr:rowOff>44824</xdr:rowOff>
    </xdr:to>
    <xdr:graphicFrame macro="">
      <xdr:nvGraphicFramePr>
        <xdr:cNvPr id="44" name="Chart 43">
          <a:extLst>
            <a:ext uri="{FF2B5EF4-FFF2-40B4-BE49-F238E27FC236}">
              <a16:creationId xmlns:a16="http://schemas.microsoft.com/office/drawing/2014/main" id="{648274B2-07DE-4709-A3C8-14EC30B93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4</xdr:col>
      <xdr:colOff>457200</xdr:colOff>
      <xdr:row>10</xdr:row>
      <xdr:rowOff>40342</xdr:rowOff>
    </xdr:from>
    <xdr:to>
      <xdr:col>6</xdr:col>
      <xdr:colOff>497541</xdr:colOff>
      <xdr:row>11</xdr:row>
      <xdr:rowOff>4483</xdr:rowOff>
    </xdr:to>
    <xdr:sp macro="" textlink="">
      <xdr:nvSpPr>
        <xdr:cNvPr id="45" name="TextBox 44">
          <a:extLst>
            <a:ext uri="{FF2B5EF4-FFF2-40B4-BE49-F238E27FC236}">
              <a16:creationId xmlns:a16="http://schemas.microsoft.com/office/drawing/2014/main" id="{1FEFFC0A-1E34-4E90-BB68-136AB3A6E5A6}"/>
            </a:ext>
          </a:extLst>
        </xdr:cNvPr>
        <xdr:cNvSpPr txBox="1"/>
      </xdr:nvSpPr>
      <xdr:spPr>
        <a:xfrm>
          <a:off x="2895600" y="1878107"/>
          <a:ext cx="1259541" cy="14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1" i="0" u="none" strike="noStrike" kern="1200">
              <a:solidFill>
                <a:srgbClr val="000000"/>
              </a:solidFill>
              <a:latin typeface="Aptos Narrow"/>
              <a:cs typeface="Calibri"/>
            </a:rPr>
            <a:t>No.</a:t>
          </a:r>
          <a:r>
            <a:rPr lang="en-US" sz="800" b="1" i="0" u="none" strike="noStrike" kern="1200" baseline="0">
              <a:solidFill>
                <a:srgbClr val="000000"/>
              </a:solidFill>
              <a:latin typeface="Aptos Narrow"/>
              <a:cs typeface="Calibri"/>
            </a:rPr>
            <a:t> of Patient By Age Group</a:t>
          </a:r>
          <a:endParaRPr lang="en-US" sz="800" b="1" i="0" u="none" strike="noStrike" kern="1200">
            <a:solidFill>
              <a:srgbClr val="000000"/>
            </a:solidFill>
            <a:latin typeface="Aptos Narrow"/>
            <a:cs typeface="Calibri"/>
          </a:endParaRPr>
        </a:p>
      </xdr:txBody>
    </xdr:sp>
    <xdr:clientData/>
  </xdr:twoCellAnchor>
  <xdr:twoCellAnchor editAs="absolute">
    <xdr:from>
      <xdr:col>7</xdr:col>
      <xdr:colOff>80683</xdr:colOff>
      <xdr:row>0</xdr:row>
      <xdr:rowOff>71718</xdr:rowOff>
    </xdr:from>
    <xdr:to>
      <xdr:col>9</xdr:col>
      <xdr:colOff>31377</xdr:colOff>
      <xdr:row>6</xdr:row>
      <xdr:rowOff>112059</xdr:rowOff>
    </xdr:to>
    <xdr:graphicFrame macro="">
      <xdr:nvGraphicFramePr>
        <xdr:cNvPr id="46" name="Chart 45">
          <a:extLst>
            <a:ext uri="{FF2B5EF4-FFF2-40B4-BE49-F238E27FC236}">
              <a16:creationId xmlns:a16="http://schemas.microsoft.com/office/drawing/2014/main" id="{6F71BEAE-D8AF-4053-8E0D-7DD38D00C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206189</xdr:colOff>
      <xdr:row>5</xdr:row>
      <xdr:rowOff>151504</xdr:rowOff>
    </xdr:from>
    <xdr:to>
      <xdr:col>8</xdr:col>
      <xdr:colOff>591671</xdr:colOff>
      <xdr:row>6</xdr:row>
      <xdr:rowOff>147917</xdr:rowOff>
    </xdr:to>
    <xdr:sp macro="" textlink="">
      <xdr:nvSpPr>
        <xdr:cNvPr id="49" name="TextBox 48">
          <a:extLst>
            <a:ext uri="{FF2B5EF4-FFF2-40B4-BE49-F238E27FC236}">
              <a16:creationId xmlns:a16="http://schemas.microsoft.com/office/drawing/2014/main" id="{5DE6243B-71DC-8B9E-DDCB-49C9B3D6445B}"/>
            </a:ext>
          </a:extLst>
        </xdr:cNvPr>
        <xdr:cNvSpPr txBox="1"/>
      </xdr:nvSpPr>
      <xdr:spPr>
        <a:xfrm>
          <a:off x="4473389" y="1070386"/>
          <a:ext cx="995082" cy="180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kern="1200"/>
            <a:t>Patient Attend Status</a:t>
          </a:r>
        </a:p>
      </xdr:txBody>
    </xdr:sp>
    <xdr:clientData/>
  </xdr:twoCellAnchor>
  <xdr:twoCellAnchor editAs="absolute">
    <xdr:from>
      <xdr:col>9</xdr:col>
      <xdr:colOff>143434</xdr:colOff>
      <xdr:row>0</xdr:row>
      <xdr:rowOff>71717</xdr:rowOff>
    </xdr:from>
    <xdr:to>
      <xdr:col>11</xdr:col>
      <xdr:colOff>179293</xdr:colOff>
      <xdr:row>6</xdr:row>
      <xdr:rowOff>40341</xdr:rowOff>
    </xdr:to>
    <xdr:graphicFrame macro="">
      <xdr:nvGraphicFramePr>
        <xdr:cNvPr id="50" name="Chart 49">
          <a:extLst>
            <a:ext uri="{FF2B5EF4-FFF2-40B4-BE49-F238E27FC236}">
              <a16:creationId xmlns:a16="http://schemas.microsoft.com/office/drawing/2014/main" id="{7883B347-64FD-483B-A79C-D46ED0C85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228601</xdr:colOff>
      <xdr:row>5</xdr:row>
      <xdr:rowOff>143437</xdr:rowOff>
    </xdr:from>
    <xdr:to>
      <xdr:col>11</xdr:col>
      <xdr:colOff>121025</xdr:colOff>
      <xdr:row>6</xdr:row>
      <xdr:rowOff>125508</xdr:rowOff>
    </xdr:to>
    <xdr:sp macro="" textlink="">
      <xdr:nvSpPr>
        <xdr:cNvPr id="51" name="TextBox 50">
          <a:extLst>
            <a:ext uri="{FF2B5EF4-FFF2-40B4-BE49-F238E27FC236}">
              <a16:creationId xmlns:a16="http://schemas.microsoft.com/office/drawing/2014/main" id="{BFD4B1E7-514B-D87D-48B3-0996A815C8DF}"/>
            </a:ext>
          </a:extLst>
        </xdr:cNvPr>
        <xdr:cNvSpPr txBox="1"/>
      </xdr:nvSpPr>
      <xdr:spPr>
        <a:xfrm>
          <a:off x="5715001" y="1062319"/>
          <a:ext cx="1111624" cy="165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kern="1200"/>
            <a:t> Gender Wise Analysis</a:t>
          </a:r>
        </a:p>
      </xdr:txBody>
    </xdr:sp>
    <xdr:clientData/>
  </xdr:twoCellAnchor>
  <xdr:twoCellAnchor editAs="absolute">
    <xdr:from>
      <xdr:col>7</xdr:col>
      <xdr:colOff>143435</xdr:colOff>
      <xdr:row>7</xdr:row>
      <xdr:rowOff>8966</xdr:rowOff>
    </xdr:from>
    <xdr:to>
      <xdr:col>11</xdr:col>
      <xdr:colOff>210668</xdr:colOff>
      <xdr:row>14</xdr:row>
      <xdr:rowOff>67236</xdr:rowOff>
    </xdr:to>
    <xdr:graphicFrame macro="">
      <xdr:nvGraphicFramePr>
        <xdr:cNvPr id="52" name="Chart 51">
          <a:extLst>
            <a:ext uri="{FF2B5EF4-FFF2-40B4-BE49-F238E27FC236}">
              <a16:creationId xmlns:a16="http://schemas.microsoft.com/office/drawing/2014/main" id="{FDC30557-0D46-4BAC-8302-9668506DC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564776</xdr:colOff>
      <xdr:row>14</xdr:row>
      <xdr:rowOff>26894</xdr:rowOff>
    </xdr:from>
    <xdr:to>
      <xdr:col>10</xdr:col>
      <xdr:colOff>398930</xdr:colOff>
      <xdr:row>15</xdr:row>
      <xdr:rowOff>35858</xdr:rowOff>
    </xdr:to>
    <xdr:sp macro="" textlink="">
      <xdr:nvSpPr>
        <xdr:cNvPr id="53" name="TextBox 52">
          <a:extLst>
            <a:ext uri="{FF2B5EF4-FFF2-40B4-BE49-F238E27FC236}">
              <a16:creationId xmlns:a16="http://schemas.microsoft.com/office/drawing/2014/main" id="{71D89B19-E967-FA51-9ABF-34385F59EBB3}"/>
            </a:ext>
          </a:extLst>
        </xdr:cNvPr>
        <xdr:cNvSpPr txBox="1"/>
      </xdr:nvSpPr>
      <xdr:spPr>
        <a:xfrm>
          <a:off x="4831976" y="2599765"/>
          <a:ext cx="1662954" cy="192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1" kern="1200"/>
            <a:t>No.</a:t>
          </a:r>
          <a:r>
            <a:rPr lang="en-IN" sz="700" b="1" kern="1200" baseline="0"/>
            <a:t> of Patient by Department Referral</a:t>
          </a:r>
          <a:endParaRPr lang="en-IN" sz="700" b="1" kern="1200"/>
        </a:p>
      </xdr:txBody>
    </xdr:sp>
    <xdr:clientData/>
  </xdr:twoCellAnchor>
  <xdr:twoCellAnchor editAs="oneCell">
    <xdr:from>
      <xdr:col>5</xdr:col>
      <xdr:colOff>251011</xdr:colOff>
      <xdr:row>1</xdr:row>
      <xdr:rowOff>49306</xdr:rowOff>
    </xdr:from>
    <xdr:to>
      <xdr:col>6</xdr:col>
      <xdr:colOff>561436</xdr:colOff>
      <xdr:row>2</xdr:row>
      <xdr:rowOff>170330</xdr:rowOff>
    </xdr:to>
    <mc:AlternateContent xmlns:mc="http://schemas.openxmlformats.org/markup-compatibility/2006" xmlns:a14="http://schemas.microsoft.com/office/drawing/2010/main">
      <mc:Choice Requires="a14">
        <xdr:graphicFrame macro="">
          <xdr:nvGraphicFramePr>
            <xdr:cNvPr id="54" name="Date (Year)">
              <a:extLst>
                <a:ext uri="{FF2B5EF4-FFF2-40B4-BE49-F238E27FC236}">
                  <a16:creationId xmlns:a16="http://schemas.microsoft.com/office/drawing/2014/main" id="{1C7AC5E7-26B3-4ADB-950E-6E183D8251A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99011" y="233082"/>
              <a:ext cx="920025" cy="304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282388</xdr:colOff>
      <xdr:row>0</xdr:row>
      <xdr:rowOff>89647</xdr:rowOff>
    </xdr:from>
    <xdr:to>
      <xdr:col>6</xdr:col>
      <xdr:colOff>564775</xdr:colOff>
      <xdr:row>1</xdr:row>
      <xdr:rowOff>77096</xdr:rowOff>
    </xdr:to>
    <xdr:sp macro="" textlink="">
      <xdr:nvSpPr>
        <xdr:cNvPr id="55" name="TextBox 54">
          <a:extLst>
            <a:ext uri="{FF2B5EF4-FFF2-40B4-BE49-F238E27FC236}">
              <a16:creationId xmlns:a16="http://schemas.microsoft.com/office/drawing/2014/main" id="{10CA683A-6954-F041-2940-C91B8A29DF78}"/>
            </a:ext>
          </a:extLst>
        </xdr:cNvPr>
        <xdr:cNvSpPr txBox="1"/>
      </xdr:nvSpPr>
      <xdr:spPr>
        <a:xfrm>
          <a:off x="3330388" y="89647"/>
          <a:ext cx="891987" cy="1712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kern="1200"/>
            <a:t>Selection Year</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7620</xdr:colOff>
      <xdr:row>4</xdr:row>
      <xdr:rowOff>22860</xdr:rowOff>
    </xdr:from>
    <xdr:to>
      <xdr:col>17</xdr:col>
      <xdr:colOff>487680</xdr:colOff>
      <xdr:row>27</xdr:row>
      <xdr:rowOff>38100</xdr:rowOff>
    </xdr:to>
    <xdr:graphicFrame macro="">
      <xdr:nvGraphicFramePr>
        <xdr:cNvPr id="2" name="Chart 1">
          <a:extLst>
            <a:ext uri="{FF2B5EF4-FFF2-40B4-BE49-F238E27FC236}">
              <a16:creationId xmlns:a16="http://schemas.microsoft.com/office/drawing/2014/main" id="{4E46286D-DBB6-49F9-90DE-699B1CD7E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31</xdr:col>
      <xdr:colOff>312420</xdr:colOff>
      <xdr:row>1</xdr:row>
      <xdr:rowOff>91440</xdr:rowOff>
    </xdr:from>
    <xdr:to>
      <xdr:col>50</xdr:col>
      <xdr:colOff>396240</xdr:colOff>
      <xdr:row>22</xdr:row>
      <xdr:rowOff>91440</xdr:rowOff>
    </xdr:to>
    <xdr:graphicFrame macro="">
      <xdr:nvGraphicFramePr>
        <xdr:cNvPr id="3" name="Chart 2">
          <a:extLst>
            <a:ext uri="{FF2B5EF4-FFF2-40B4-BE49-F238E27FC236}">
              <a16:creationId xmlns:a16="http://schemas.microsoft.com/office/drawing/2014/main" id="{720D58C6-5F67-40D0-B28E-C280A8733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205740</xdr:colOff>
      <xdr:row>0</xdr:row>
      <xdr:rowOff>0</xdr:rowOff>
    </xdr:from>
    <xdr:to>
      <xdr:col>1</xdr:col>
      <xdr:colOff>335280</xdr:colOff>
      <xdr:row>4</xdr:row>
      <xdr:rowOff>7620</xdr:rowOff>
    </xdr:to>
    <xdr:pic>
      <xdr:nvPicPr>
        <xdr:cNvPr id="5" name="Graphic 4" descr="Home">
          <a:hlinkClick xmlns:r="http://schemas.openxmlformats.org/officeDocument/2006/relationships" r:id="rId3"/>
          <a:extLst>
            <a:ext uri="{FF2B5EF4-FFF2-40B4-BE49-F238E27FC236}">
              <a16:creationId xmlns:a16="http://schemas.microsoft.com/office/drawing/2014/main" id="{2684CA02-96AE-9531-BE86-276E54B2360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5740" y="0"/>
          <a:ext cx="739140" cy="739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30480</xdr:colOff>
      <xdr:row>4</xdr:row>
      <xdr:rowOff>0</xdr:rowOff>
    </xdr:from>
    <xdr:to>
      <xdr:col>15</xdr:col>
      <xdr:colOff>190500</xdr:colOff>
      <xdr:row>25</xdr:row>
      <xdr:rowOff>121920</xdr:rowOff>
    </xdr:to>
    <xdr:graphicFrame macro="">
      <xdr:nvGraphicFramePr>
        <xdr:cNvPr id="2" name="Chart 1">
          <a:extLst>
            <a:ext uri="{FF2B5EF4-FFF2-40B4-BE49-F238E27FC236}">
              <a16:creationId xmlns:a16="http://schemas.microsoft.com/office/drawing/2014/main" id="{C28A19B8-4530-4933-A2F7-0243AD252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274320</xdr:colOff>
      <xdr:row>0</xdr:row>
      <xdr:rowOff>15240</xdr:rowOff>
    </xdr:from>
    <xdr:to>
      <xdr:col>1</xdr:col>
      <xdr:colOff>289560</xdr:colOff>
      <xdr:row>3</xdr:row>
      <xdr:rowOff>91440</xdr:rowOff>
    </xdr:to>
    <xdr:pic>
      <xdr:nvPicPr>
        <xdr:cNvPr id="4" name="Graphic 3" descr="Home">
          <a:hlinkClick xmlns:r="http://schemas.openxmlformats.org/officeDocument/2006/relationships" r:id="rId2"/>
          <a:extLst>
            <a:ext uri="{FF2B5EF4-FFF2-40B4-BE49-F238E27FC236}">
              <a16:creationId xmlns:a16="http://schemas.microsoft.com/office/drawing/2014/main" id="{CB41D255-7BC4-0C3D-F683-E287FDD6D8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320" y="15240"/>
          <a:ext cx="624840" cy="6248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22860</xdr:rowOff>
    </xdr:from>
    <xdr:to>
      <xdr:col>19</xdr:col>
      <xdr:colOff>579120</xdr:colOff>
      <xdr:row>27</xdr:row>
      <xdr:rowOff>0</xdr:rowOff>
    </xdr:to>
    <xdr:graphicFrame macro="">
      <xdr:nvGraphicFramePr>
        <xdr:cNvPr id="2" name="Chart 1">
          <a:extLst>
            <a:ext uri="{FF2B5EF4-FFF2-40B4-BE49-F238E27FC236}">
              <a16:creationId xmlns:a16="http://schemas.microsoft.com/office/drawing/2014/main" id="{989E63BE-D59B-46F9-BACB-8451D611A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266700</xdr:colOff>
      <xdr:row>0</xdr:row>
      <xdr:rowOff>45720</xdr:rowOff>
    </xdr:from>
    <xdr:to>
      <xdr:col>1</xdr:col>
      <xdr:colOff>243840</xdr:colOff>
      <xdr:row>3</xdr:row>
      <xdr:rowOff>83820</xdr:rowOff>
    </xdr:to>
    <xdr:pic>
      <xdr:nvPicPr>
        <xdr:cNvPr id="4" name="Graphic 3" descr="Home">
          <a:hlinkClick xmlns:r="http://schemas.openxmlformats.org/officeDocument/2006/relationships" r:id="rId2"/>
          <a:extLst>
            <a:ext uri="{FF2B5EF4-FFF2-40B4-BE49-F238E27FC236}">
              <a16:creationId xmlns:a16="http://schemas.microsoft.com/office/drawing/2014/main" id="{66A86993-353B-1FCC-14C8-F5D05AC4FF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6700" y="45720"/>
          <a:ext cx="586740" cy="5867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89351855" createdVersion="5" refreshedVersion="8" minRefreshableVersion="3" recordCount="0" supportSubquery="1" supportAdvancedDrill="1" xr:uid="{ACBB987E-ADEE-4C2A-9993-26A23B9FFA2B}">
  <cacheSource type="external" connectionId="3"/>
  <cacheFields count="4">
    <cacheField name="[Measures].[Distinct Count of Patient Id]" caption="Distinct Count of Patient Id" numFmtId="0" hierarchy="24" level="32767"/>
    <cacheField name="[Calendar_Dat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2"/>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1"/>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89930555" createdVersion="5" refreshedVersion="8" minRefreshableVersion="3" recordCount="0" supportSubquery="1" supportAdvancedDrill="1" xr:uid="{4D69B550-10F8-45D5-A37F-D995F31AED8B}">
  <cacheSource type="external" connectionId="3"/>
  <cacheFields count="3">
    <cacheField name="[Measures].[Distinct Count of Patient Id]" caption="Distinct Count of Patient Id" numFmtId="0" hierarchy="24"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0277779" createdVersion="5" refreshedVersion="8" minRefreshableVersion="3" recordCount="0" supportSubquery="1" supportAdvancedDrill="1" xr:uid="{9E5C7BE0-31EB-47ED-A1FE-E4E358C5B051}">
  <cacheSource type="external" connectionId="3"/>
  <cacheFields count="3">
    <cacheField name="[Measures].[Average of Patient Waittime]" caption="Average of Patient Waittime" numFmtId="0" hierarchy="26"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0740741" createdVersion="5" refreshedVersion="8" minRefreshableVersion="3" recordCount="0" supportSubquery="1" supportAdvancedDrill="1" xr:uid="{00B1CA68-B137-4CE4-890C-E02E9D0BF41E}">
  <cacheSource type="external" connectionId="3"/>
  <cacheFields count="3">
    <cacheField name="[Measures].[Average of Patient Satisfaction Score]" caption="Average of Patient Satisfaction Score" numFmtId="0" hierarchy="28"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4907405" createdVersion="5" refreshedVersion="8" minRefreshableVersion="3" recordCount="0" supportSubquery="1" supportAdvancedDrill="1" xr:uid="{548269D9-2C75-4ADF-8C3E-AC3C237A8DF2}">
  <cacheSource type="external" connectionId="3"/>
  <cacheFields count="4">
    <cacheField name="[Calendar_Dat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Dat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0"/>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5833336" createdVersion="5" refreshedVersion="8" minRefreshableVersion="3" recordCount="0" supportSubquery="1" supportAdvancedDrill="1" xr:uid="{13D93412-1DB0-47FD-B340-7D170FE6F35F}">
  <cacheSource type="external" connectionId="3"/>
  <cacheFields count="4">
    <cacheField name="[Calendar_Dat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0"/>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675926" createdVersion="5" refreshedVersion="8" minRefreshableVersion="3" recordCount="0" supportSubquery="1" supportAdvancedDrill="1" xr:uid="{64A7371A-28C7-4E1A-9439-3003E78F0ABA}">
  <cacheSource type="external" connectionId="3"/>
  <cacheFields count="5">
    <cacheField name="[Calendar_Date].[Date (Month)].[Date (Month)]" caption="Date (Month)" numFmtId="0" hierarchy="1" level="1">
      <sharedItems containsSemiMixedTypes="0" containsNonDate="0" containsString="0"/>
    </cacheField>
    <cacheField name="[Measures].[Count of Calculated Column 2]" caption="Count of Calculated Column 2" numFmtId="0" hierarchy="29" level="32767"/>
    <cacheField name="[Hospital Emergency Room Data].[Patient Admission Flag].[Patient Admission Flag]" caption="Patient Admission Flag" numFmtId="0" hierarchy="13" level="1">
      <sharedItems count="2">
        <s v="Admitted"/>
        <s v="Not Amitted"/>
      </sharedItems>
    </cacheField>
    <cacheField name="[Measures].[Count of Patient Admission Flag]" caption="Count of Patient Admission Flag" numFmtId="0" hierarchy="30"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4"/>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7453706" createdVersion="5" refreshedVersion="8" minRefreshableVersion="3" recordCount="0" supportSubquery="1" supportAdvancedDrill="1" xr:uid="{FB07D3FC-3BAC-4813-8912-B553DF53F85B}">
  <cacheSource type="external" connectionId="3"/>
  <cacheFields count="4">
    <cacheField name="[Calendar_Date].[Date (Month)].[Date (Month)]" caption="Date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Measures].[Count of Calculated Column 1]" caption="Count of Calculated Column 1" numFmtId="0" hierarchy="32"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698148146" createdVersion="5" refreshedVersion="8" minRefreshableVersion="3" recordCount="0" supportSubquery="1" supportAdvancedDrill="1" xr:uid="{4F971333-7EA0-4BA7-9786-66E7F717AFD7}">
  <cacheSource type="external" connectionId="3"/>
  <cacheFields count="5">
    <cacheField name="[Calendar_Date].[Date (Month)].[Date (Month)]" caption="Date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Hospital Emergency Room Data].[Calculated Column 2].[Calculated Column 2]" caption="Calculated Column 2" numFmtId="0" hierarchy="17" level="1">
      <sharedItems count="2">
        <s v="Delay"/>
        <s v="On Time"/>
      </sharedItems>
    </cacheField>
    <cacheField name="[Measures].[Count of Calculated Column 2]" caption="Count of Calculated Column 2" numFmtId="0" hierarchy="29"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4"/>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2"/>
      </fieldsUsage>
    </cacheHierarchy>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700231485" createdVersion="5" refreshedVersion="8" minRefreshableVersion="3" recordCount="0" supportSubquery="1" supportAdvancedDrill="1" xr:uid="{3C8D2840-7065-4B16-8A6F-FE260496E28C}">
  <cacheSource type="external" connectionId="3"/>
  <cacheFields count="6">
    <cacheField name="[Calendar_Date].[Date (Month)].[Date (Month)]" caption="Date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Hospital Emergency Room Data].[Calculated Column 2].[Calculated Column 2]" caption="Calculated Column 2" numFmtId="0" hierarchy="17" level="1">
      <sharedItems count="2">
        <s v="Delay"/>
        <s v="On Time"/>
      </sharedItems>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5"/>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2"/>
      </fieldsUsage>
    </cacheHierarchy>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700925924" createdVersion="5" refreshedVersion="8" minRefreshableVersion="3" recordCount="0" supportSubquery="1" supportAdvancedDrill="1" xr:uid="{DC86B92A-3A25-4817-956D-07C11D1C1A33}">
  <cacheSource type="external" connectionId="3"/>
  <cacheFields count="6">
    <cacheField name="[Calendar_Date].[Date (Month)].[Date (Month)]" caption="Date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Hospital Emergency Room Data].[Calculated Column 2].[Calculated Column 2]" caption="Calculated Column 2" numFmtId="0" hierarchy="17" level="1">
      <sharedItems count="2">
        <s v="Delay"/>
        <s v="On Time"/>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Date].[Date (Year)].[Date (Year)]" caption="Date (Year)" numFmtId="0" hierarchy="3" level="1">
      <sharedItems containsSemiMixedTypes="0" containsNonDate="0" containsString="0"/>
    </cacheField>
  </cacheFields>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5"/>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2"/>
      </fieldsUsage>
    </cacheHierarchy>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4"/>
      </fieldsUsage>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61.857701736109" createdVersion="5" refreshedVersion="8" minRefreshableVersion="3" recordCount="0" supportSubquery="1" supportAdvancedDrill="1" xr:uid="{9E7A0D14-782F-46D7-934C-DE4EC77810D1}">
  <cacheSource type="external" connectionId="3"/>
  <cacheFields count="6">
    <cacheField name="[Calendar_Date].[Date (Month)].[Date (Month)]" caption="Date (Month)" numFmtId="0" hierarchy="1" level="1">
      <sharedItems count="1">
        <s v="Feb"/>
      </sharedItems>
    </cacheField>
    <cacheField name="[Hospital Emergency Room Data].[Calculated Column 1].[Calculated Column 1]" caption="Calculated Column 1" numFmtId="0" hierarchy="16" level="1">
      <sharedItems count="8">
        <s v="0-09"/>
        <s v="10-19"/>
        <s v="20-29"/>
        <s v="30-39"/>
        <s v="40-49"/>
        <s v="50-59"/>
        <s v="60-69"/>
        <s v="70-79"/>
      </sharedItems>
    </cacheField>
    <cacheField name="[Hospital Emergency Room Data].[Calculated Column 2].[Calculated Column 2]" caption="Calculated Column 2" numFmtId="0" hierarchy="17" level="1">
      <sharedItems count="2">
        <s v="Delay"/>
        <s v="On Time"/>
      </sharedItems>
    </cacheField>
    <cacheField name="[Calendar_Dat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Date].[Date (Quarter)].[Date (Quarter)]" caption="Date (Quarter)" numFmtId="0" hierarchy="4" level="1">
      <sharedItems count="1">
        <s v="Qtr1"/>
      </sharedItems>
    </cacheField>
    <cacheField name="[Calendar_Date].[Date (Year)].[Date (Year)]" caption="Date (Year)" numFmtId="0" hierarchy="3" level="1">
      <sharedItems count="1">
        <s v="2024"/>
      </sharedItems>
    </cacheField>
  </cacheFields>
  <cacheHierarchies count="35">
    <cacheHierarchy uniqueName="[Calendar_Date].[Date]" caption="Date" attribute="1" time="1" defaultMemberUniqueName="[Calendar_Date].[Date].[All]" allUniqueName="[Calendar_Date].[Date].[All]" dimensionUniqueName="[Calendar_Date]" displayFolder="" count="2" memberValueDatatype="7" unbalanced="0">
      <fieldsUsage count="2">
        <fieldUsage x="-1"/>
        <fieldUsage x="3"/>
      </fieldsUsage>
    </cacheHierarchy>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2"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5"/>
      </fieldsUsage>
    </cacheHierarchy>
    <cacheHierarchy uniqueName="[Calendar_Date].[Date (Quarter)]" caption="Date (Quarter)" attribute="1" defaultMemberUniqueName="[Calendar_Date].[Date (Quarter)].[All]" allUniqueName="[Calendar_Date].[Date (Quarter)].[All]" dimensionUniqueName="[Calendar_Date]" displayFolder="" count="2" memberValueDatatype="130" unbalanced="0">
      <fieldsUsage count="2">
        <fieldUsage x="-1"/>
        <fieldUsage x="4"/>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2"/>
      </fieldsUsage>
    </cacheHierarchy>
    <cacheHierarchy uniqueName="[Calendar_Date].[Date (Day Index)]" caption="Date (Day Index)" attribute="1" defaultMemberUniqueName="[Calendar_Date].[Date (Day Index)].[All]" allUniqueName="[Calendar_Date].[Date (Day Index)].[All]" dimensionUniqueName="[Calendar_Date]" displayFolder="" count="2"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kohli { vrj luv }" refreshedDate="46033.854999305557" createdVersion="3" refreshedVersion="8" minRefreshableVersion="3" recordCount="0" supportSubquery="1" supportAdvancedDrill="1" xr:uid="{DD121E36-F8FB-4293-86B4-AEB3A1C35EFD}">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621120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4DE95D-964C-4C5A-96F6-C3C430F85584}" name="PivotTable10" cacheId="8" applyNumberFormats="0" applyBorderFormats="0" applyFontFormats="0" applyPatternFormats="0" applyAlignmentFormats="0" applyWidthHeightFormats="1" dataCaption="Values" tag="3e5a3b9e-4a63-4df3-8ca2-37fc801fd3a7" updatedVersion="8" minRefreshableVersion="3" subtotalHiddenItems="1" itemPrintTitles="1" createdVersion="5" indent="0" outline="1" outlineData="1" multipleFieldFilters="0" chartFormat="11">
  <location ref="D17:E20" firstHeaderRow="1" firstDataRow="1" firstDataCol="1"/>
  <pivotFields count="5">
    <pivotField allDrilled="1" subtotalTop="0" showAll="0" dataSourceSort="1" defaultSubtotal="0" defaultAttributeDrillState="1"/>
    <pivotField name="Age Group" allDrilled="1" subtotalTop="0" showAll="0" defaultSubtotal="0" defaultAttributeDrillState="1">
      <items count="8">
        <item x="0"/>
        <item x="1"/>
        <item x="2"/>
        <item x="3"/>
        <item x="4"/>
        <item x="5"/>
        <item x="6"/>
        <item x="7"/>
      </items>
    </pivotField>
    <pivotField name="Patient WaitTime"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WaitTime" fld="3" subtotal="count" baseField="0" baseItem="0"/>
  </dataFields>
  <formats count="1">
    <format dxfId="0">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ge Group"/>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3C867C-E419-4870-B01A-74302A75B9FA}" name="PivotTable11" cacheId="9" applyNumberFormats="0" applyBorderFormats="0" applyFontFormats="0" applyPatternFormats="0" applyAlignmentFormats="0" applyWidthHeightFormats="1" dataCaption="Values" tag="c17d3e1d-97c0-4fc0-8b87-068f5b12eb02" updatedVersion="8" minRefreshableVersion="3" subtotalHiddenItems="1" itemPrintTitles="1" createdVersion="5" indent="0" outline="1" outlineData="1" multipleFieldFilters="0" chartFormat="16">
  <location ref="D24:E27" firstHeaderRow="1" firstDataRow="1" firstDataCol="1"/>
  <pivotFields count="6">
    <pivotField allDrilled="1" subtotalTop="0" showAll="0" dataSourceSort="1" defaultSubtotal="0" defaultAttributeDrillState="1"/>
    <pivotField name="Age Group" allDrilled="1" subtotalTop="0" showAll="0" defaultSubtotal="0" defaultAttributeDrillState="1">
      <items count="8">
        <item x="0"/>
        <item x="1"/>
        <item x="2"/>
        <item x="3"/>
        <item x="4"/>
        <item x="5"/>
        <item x="6"/>
        <item x="7"/>
      </items>
    </pivotField>
    <pivotField name="Patient WaitTime"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Gender" fld="4" subtotal="count" baseField="0" baseItem="0"/>
  </dataFields>
  <formats count="1">
    <format dxfId="1">
      <pivotArea outline="0" collapsedLevelsAreSubtotals="1" fieldPosition="0"/>
    </format>
  </formats>
  <chartFormats count="3">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3" count="1" selected="0">
            <x v="0"/>
          </reference>
        </references>
      </pivotArea>
    </chartFormat>
    <chartFormat chart="15" format="7">
      <pivotArea type="data" outline="0" fieldPosition="0">
        <references count="2">
          <reference field="4294967294" count="1" selected="0">
            <x v="0"/>
          </reference>
          <reference field="3" count="1" selected="0">
            <x v="1"/>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ge Group"/>
    <pivotHierarchy dragToData="1" caption="Patient WaitTime"/>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8C2CA2-AF78-4738-B2AE-9F7D9F9DA389}" name="PivotTable4" cacheId="3" applyNumberFormats="0" applyBorderFormats="0" applyFontFormats="0" applyPatternFormats="0" applyAlignmentFormats="0" applyWidthHeightFormats="1" dataCaption="Values" tag="a6450655-cc49-4d10-a305-c50f626ea18e"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2">
      <pivotArea outline="0" collapsedLevelsAreSubtotals="1" fieldPosition="0"/>
    </format>
  </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222D27-C204-420A-AC94-8F68B9EC7F01}" name="PivotTable7" cacheId="5" applyNumberFormats="0" applyBorderFormats="0" applyFontFormats="0" applyPatternFormats="0" applyAlignmentFormats="0" applyWidthHeightFormats="1" dataCaption="Values" tag="1a62090e-e4fe-4572-b947-ef340343bd48" updatedVersion="8" minRefreshableVersion="3" useAutoFormatting="1" subtotalHiddenItems="1" itemPrintTitles="1" createdVersion="5" indent="0" showHeaders="0" outline="1" outlineData="1" multipleFieldFilters="0" chartFormat="21">
  <location ref="N4:O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4" numFmtId="164"/>
  </dataFields>
  <formats count="1">
    <format dxfId="3">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642E28-EF6D-4461-A103-D89DD7B95D4D}" name="PivotTable2" cacheId="1" applyNumberFormats="0" applyBorderFormats="0" applyFontFormats="0" applyPatternFormats="0" applyAlignmentFormats="0" applyWidthHeightFormats="1" dataCaption="Values" tag="8404427e-3c58-4ca4-a0e4-e73e78ea0275"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DB7B51-5F43-4201-9D60-E2770E66519B}" name="PivotTable16" cacheId="11" applyNumberFormats="0" applyBorderFormats="0" applyFontFormats="0" applyPatternFormats="0" applyAlignmentFormats="0" applyWidthHeightFormats="1" dataCaption="Values" tag="c9de7802-9229-4991-9df0-f82882f37739" updatedVersion="8" minRefreshableVersion="3" subtotalHiddenItems="1" itemPrintTitles="1" createdVersion="5" indent="0" outline="1" outlineData="1" multipleFieldFilters="0" chartFormat="16">
  <location ref="D32:D34" firstHeaderRow="1" firstDataRow="1" firstDataCol="1"/>
  <pivotFields count="6">
    <pivotField axis="axisRow" allDrilled="1" subtotalTop="0" showAll="0" dataSourceSort="1" defaultSubtotal="0">
      <items count="1">
        <item s="1" x="0" e="0"/>
      </items>
    </pivotField>
    <pivotField name="Age Group" allDrilled="1" subtotalTop="0" showAll="0" defaultSubtotal="0" defaultAttributeDrillState="1">
      <items count="8">
        <item x="0"/>
        <item x="1"/>
        <item x="2"/>
        <item x="3"/>
        <item x="4"/>
        <item x="5"/>
        <item x="6"/>
        <item x="7"/>
      </items>
    </pivotField>
    <pivotField name="Patient WaitTime" allDrilled="1" subtotalTop="0" showAll="0" dataSourceSort="1" defaultSubtotal="0" defaultAttributeDrillState="1">
      <items count="2">
        <item x="0"/>
        <item x="1"/>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5"/>
    <field x="4"/>
    <field x="0"/>
    <field x="3"/>
  </rowFields>
  <rowItems count="2">
    <i>
      <x/>
    </i>
    <i t="grand">
      <x/>
    </i>
  </rowItems>
  <formats count="1">
    <format dxfId="4">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ge Group"/>
    <pivotHierarchy dragToData="1" caption="Patient WaitTime"/>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AF3B88-A789-497B-A880-2F1D33F6EA65}" name="PivotTable3" cacheId="2" applyNumberFormats="0" applyBorderFormats="0" applyFontFormats="0" applyPatternFormats="0" applyAlignmentFormats="0" applyWidthHeightFormats="1" dataCaption="Values" tag="5cdb451f-4a85-4829-8165-c6f863efcacd"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5">
      <pivotArea outline="0" collapsedLevelsAreSubtotals="1" fieldPosition="0"/>
    </format>
  </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BC751E-8704-406C-9985-27DA26EFBD78}" name="PivotTable6" cacheId="4" applyNumberFormats="0" applyBorderFormats="0" applyFontFormats="0" applyPatternFormats="0" applyAlignmentFormats="0" applyWidthHeightFormats="1" dataCaption="Values" tag="0eafd572-de17-4000-bb3f-02a0a835be95" updatedVersion="8" minRefreshableVersion="3" useAutoFormatting="1" subtotalHiddenItems="1" itemPrintTitles="1" createdVersion="5" indent="0" showHeaders="0" outline="1" outlineData="1" multipleFieldFilters="0" chartFormat="14">
  <location ref="K4:L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164"/>
  </dataFields>
  <formats count="1">
    <format dxfId="6">
      <pivotArea outline="0" collapsedLevelsAreSubtotals="1" fieldPosition="0"/>
    </format>
  </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3EF663-9A11-498E-B364-EA45014CA989}" name="PivotTable5" cacheId="0" applyNumberFormats="0" applyBorderFormats="0" applyFontFormats="0" applyPatternFormats="0" applyAlignmentFormats="0" applyWidthHeightFormats="1" dataCaption="Values" tag="500adf81-fc3c-4ec5-9044-99ba27a21667" updatedVersion="8" minRefreshableVersion="3" useAutoFormatting="1" subtotalHiddenItems="1" itemPrintTitles="1" createdVersion="5" indent="0" outline="1" outlineData="1" multipleFieldFilters="0" chartFormat="24">
  <location ref="G4:H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7"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262483-50CF-4367-85F0-5E6CDEEFE4C2}" name="PivotTable8" cacheId="6" applyNumberFormats="0" applyBorderFormats="0" applyFontFormats="0" applyPatternFormats="0" applyAlignmentFormats="0" applyWidthHeightFormats="1" dataCaption="Values" tag="da520479-20eb-42a1-bbcf-7d2de2e9e919" updatedVersion="8" minRefreshableVersion="3" subtotalHiddenItems="1" itemPrintTitles="1" createdVersion="5" indent="0" outline="1" outlineData="1" multipleFieldFilters="0" chartFormat="8">
  <location ref="C3:E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Patient Attend Status" fld="1" subtotal="count" baseField="0" baseItem="0" numFmtId="1"/>
    <dataField name="Count of Patient Admission Flag" fld="3" subtotal="count" showDataAs="percentOfTotal" baseField="0" baseItem="0" numFmtId="9"/>
  </dataFields>
  <formats count="3">
    <format dxfId="9">
      <pivotArea outline="0" collapsedLevelsAreSubtotals="1" fieldPosition="0"/>
    </format>
    <format dxfId="8">
      <pivotArea outline="0" fieldPosition="0">
        <references count="1">
          <reference field="4294967294" count="1">
            <x v="1"/>
          </reference>
        </references>
      </pivotArea>
    </format>
    <format dxfId="7">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atient Attend Status"/>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5B1F48-6D36-4BA8-9D96-7451D6CB2D42}" name="PivotTable12" cacheId="10" applyNumberFormats="0" applyBorderFormats="0" applyFontFormats="0" applyPatternFormats="0" applyAlignmentFormats="0" applyWidthHeightFormats="1" dataCaption="Values" tag="0c37c30c-d8e5-4e6e-88fb-c3fbf0acda01" updatedVersion="8" minRefreshableVersion="3" subtotalHiddenItems="1" itemPrintTitles="1" createdVersion="5" indent="0" outline="1" outlineData="1" multipleFieldFilters="0" chartFormat="21">
  <location ref="A31:B40" firstHeaderRow="1" firstDataRow="1" firstDataCol="1"/>
  <pivotFields count="6">
    <pivotField allDrilled="1" subtotalTop="0" showAll="0" dataSourceSort="1" defaultSubtotal="0" defaultAttributeDrillState="1"/>
    <pivotField name="Age Group" allDrilled="1" subtotalTop="0" showAll="0" defaultSubtotal="0" defaultAttributeDrillState="1">
      <items count="8">
        <item x="0"/>
        <item x="1"/>
        <item x="2"/>
        <item x="3"/>
        <item x="4"/>
        <item x="5"/>
        <item x="6"/>
        <item x="7"/>
      </items>
    </pivotField>
    <pivotField name="Patient WaitTime" allDrilled="1" subtotalTop="0" showAll="0" dataSourceSort="1" defaultSubtotal="0" defaultAttributeDrillState="1">
      <items count="2">
        <item x="0"/>
        <item x="1"/>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9">
    <i>
      <x v="3"/>
    </i>
    <i>
      <x v="1"/>
    </i>
    <i>
      <x v="7"/>
    </i>
    <i>
      <x/>
    </i>
    <i>
      <x v="6"/>
    </i>
    <i>
      <x v="5"/>
    </i>
    <i>
      <x v="2"/>
    </i>
    <i>
      <x v="4"/>
    </i>
    <i t="grand">
      <x/>
    </i>
  </rowItems>
  <colItems count="1">
    <i/>
  </colItems>
  <dataFields count="1">
    <dataField name="Count of Department Referral" fld="4" subtotal="count" baseField="0" baseItem="0"/>
  </dataFields>
  <formats count="1">
    <format dxfId="10">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ge Group"/>
    <pivotHierarchy dragToData="1" caption="Patient WaitTime"/>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09A984-D3CB-4CF8-B14E-22E1E7DA5506}" name="PivotTable9" cacheId="7" applyNumberFormats="0" applyBorderFormats="0" applyFontFormats="0" applyPatternFormats="0" applyAlignmentFormats="0" applyWidthHeightFormats="1" dataCaption="Values" tag="b32b8798-e823-40c6-a80a-f8a007827919" updatedVersion="8" minRefreshableVersion="3" subtotalHiddenItems="1" itemPrintTitles="1" createdVersion="5" indent="0" outline="1" outlineData="1" multipleFieldFilters="0" chartFormat="6">
  <location ref="A16:B25" firstHeaderRow="1" firstDataRow="1" firstDataCol="1"/>
  <pivotFields count="4">
    <pivotField allDrilled="1" subtotalTop="0" showAll="0" dataSourceSort="1" defaultSubtotal="0" defaultAttributeDrillState="1"/>
    <pivotField name="Age Group"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Date].[Date (Month)].&amp;[Feb]"/>
      </members>
    </pivotHierarchy>
    <pivotHierarchy dragToData="1"/>
    <pivotHierarchy multipleItemSelectionAllowed="1" dragToData="1">
      <members count="1" level="1">
        <member name="[Calenda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Dat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68054BD-7B09-4C3D-9507-FCB4B9D8BF75}" sourceName="[Calendar_Date].[Date (Month)]">
  <pivotTables>
    <pivotTable tabId="1" name="PivotTable5"/>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6"/>
  </pivotTables>
  <data>
    <olap pivotCacheId="1262112044">
      <levels count="2">
        <level uniqueName="[Calendar_Date].[Date (Month)].[(All)]" sourceCaption="(All)" count="0"/>
        <level uniqueName="[Calendar_Date].[Date (Month)].[Date (Month)]" sourceCaption="Date (Month)" count="12">
          <ranges>
            <range startItem="0">
              <i n="[Calendar_Date].[Date (Month)].&amp;[Jan]" c="Jan"/>
              <i n="[Calendar_Date].[Date (Month)].&amp;[Feb]" c="Feb"/>
              <i n="[Calendar_Date].[Date (Month)].&amp;[Mar]" c="Mar"/>
              <i n="[Calendar_Date].[Date (Month)].&amp;[Apr]" c="Apr"/>
              <i n="[Calendar_Date].[Date (Month)].&amp;[May]" c="May"/>
              <i n="[Calendar_Date].[Date (Month)].&amp;[Jun]" c="Jun"/>
              <i n="[Calendar_Date].[Date (Month)].&amp;[Jul]" c="Jul"/>
              <i n="[Calendar_Date].[Date (Month)].&amp;[Aug]" c="Aug"/>
              <i n="[Calendar_Date].[Date (Month)].&amp;[Sep]" c="Sep"/>
              <i n="[Calendar_Date].[Date (Month)].&amp;[Oct]" c="Oct"/>
              <i n="[Calendar_Date].[Date (Month)].&amp;[Nov]" c="Nov"/>
              <i n="[Calendar_Date].[Date (Month)].&amp;[Dec]" c="Dec"/>
            </range>
          </ranges>
        </level>
      </levels>
      <selections count="1">
        <selection n="[Calendar_Dat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5F014E0-8CF4-424B-983E-5BE289B68484}" sourceName="[Calendar_Date].[Date (Year)]">
  <pivotTables>
    <pivotTable tabId="1" name="PivotTable16"/>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62112044">
      <levels count="2">
        <level uniqueName="[Calendar_Date].[Date (Year)].[(All)]" sourceCaption="(All)" count="0"/>
        <level uniqueName="[Calendar_Date].[Date (Year)].[Date (Year)]" sourceCaption="Date (Year)" count="2">
          <ranges>
            <range startItem="0">
              <i n="[Calendar_Date].[Date (Year)].&amp;[2023]" c="2023"/>
              <i n="[Calendar_Date].[Date (Year)].&amp;[2024]" c="2024"/>
            </range>
          </ranges>
        </level>
      </levels>
      <selections count="1">
        <selection n="[Calendar_Dat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E952E3B-409D-4265-B9C9-ADA4E6CE1E9B}" cache="Slicer_Date__Month" caption="Date (Month)" showCaption="0" level="1" style="My Slicer2" rowHeight="144000"/>
  <slicer name="Date (Year)" xr10:uid="{29277744-688E-4901-8758-65E233C16F34}" cache="Slicer_Date__Year" caption="Date (Year)" columnCount="2" showCaption="0" level="1" style="My Slicer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04D61-9FFF-4D38-8A96-6FA33D0D1AE7}">
  <dimension ref="A3:O40"/>
  <sheetViews>
    <sheetView zoomScale="150" zoomScaleNormal="150" workbookViewId="0">
      <selection activeCell="D30" sqref="D30"/>
    </sheetView>
  </sheetViews>
  <sheetFormatPr defaultRowHeight="14.4" x14ac:dyDescent="0.3"/>
  <cols>
    <col min="1" max="1" width="24.44140625" bestFit="1" customWidth="1"/>
    <col min="2" max="2" width="26.33203125" bestFit="1" customWidth="1"/>
    <col min="3" max="4" width="23.88671875" bestFit="1" customWidth="1"/>
    <col min="5" max="5" width="28.109375" customWidth="1"/>
    <col min="7" max="7" width="12.5546875" bestFit="1" customWidth="1"/>
    <col min="8" max="8" width="24.44140625" bestFit="1" customWidth="1"/>
    <col min="11" max="11" width="11.109375" bestFit="1" customWidth="1"/>
    <col min="12" max="12" width="25.6640625" bestFit="1" customWidth="1"/>
    <col min="14" max="14" width="11.109375" bestFit="1" customWidth="1"/>
    <col min="15" max="15" width="33" bestFit="1" customWidth="1"/>
    <col min="16" max="16" width="29.21875" bestFit="1" customWidth="1"/>
  </cols>
  <sheetData>
    <row r="3" spans="1:15" ht="15.6" x14ac:dyDescent="0.3">
      <c r="A3" s="9" t="s">
        <v>3</v>
      </c>
      <c r="C3" s="1" t="s">
        <v>0</v>
      </c>
      <c r="D3" t="s">
        <v>11</v>
      </c>
      <c r="E3" t="s">
        <v>14</v>
      </c>
      <c r="G3" s="10" t="s">
        <v>8</v>
      </c>
      <c r="K3" s="10" t="s">
        <v>9</v>
      </c>
      <c r="N3" s="10" t="s">
        <v>10</v>
      </c>
    </row>
    <row r="4" spans="1:15" x14ac:dyDescent="0.3">
      <c r="A4" t="s">
        <v>4</v>
      </c>
      <c r="C4" s="2" t="s">
        <v>12</v>
      </c>
      <c r="D4" s="11">
        <v>224</v>
      </c>
      <c r="E4" s="12">
        <v>0.51972157772621808</v>
      </c>
      <c r="G4" s="1" t="s">
        <v>0</v>
      </c>
      <c r="H4" t="s">
        <v>4</v>
      </c>
      <c r="L4" t="s">
        <v>5</v>
      </c>
      <c r="O4" t="s">
        <v>7</v>
      </c>
    </row>
    <row r="5" spans="1:15" x14ac:dyDescent="0.3">
      <c r="A5" s="3">
        <v>431</v>
      </c>
      <c r="C5" s="2" t="s">
        <v>13</v>
      </c>
      <c r="D5" s="11">
        <v>207</v>
      </c>
      <c r="E5" s="12">
        <v>0.48027842227378192</v>
      </c>
      <c r="G5" s="2" t="s">
        <v>47</v>
      </c>
      <c r="H5" s="3">
        <v>13</v>
      </c>
      <c r="K5" s="2" t="s">
        <v>47</v>
      </c>
      <c r="L5" s="8">
        <v>35.692307692307693</v>
      </c>
      <c r="N5" s="2" t="s">
        <v>47</v>
      </c>
      <c r="O5" s="8">
        <v>4.166666666666667</v>
      </c>
    </row>
    <row r="6" spans="1:15" x14ac:dyDescent="0.3">
      <c r="C6" s="2" t="s">
        <v>1</v>
      </c>
      <c r="D6" s="11">
        <v>431</v>
      </c>
      <c r="E6" s="12">
        <v>1</v>
      </c>
      <c r="G6" s="2" t="s">
        <v>48</v>
      </c>
      <c r="H6" s="3">
        <v>10</v>
      </c>
      <c r="K6" s="2" t="s">
        <v>48</v>
      </c>
      <c r="L6" s="8">
        <v>45.4</v>
      </c>
      <c r="N6" s="2" t="s">
        <v>48</v>
      </c>
      <c r="O6" s="8">
        <v>5.75</v>
      </c>
    </row>
    <row r="7" spans="1:15" x14ac:dyDescent="0.3">
      <c r="G7" s="2" t="s">
        <v>49</v>
      </c>
      <c r="H7" s="3">
        <v>8</v>
      </c>
      <c r="K7" s="2" t="s">
        <v>49</v>
      </c>
      <c r="L7" s="8">
        <v>29.375</v>
      </c>
      <c r="N7" s="2" t="s">
        <v>49</v>
      </c>
      <c r="O7" s="8">
        <v>4.75</v>
      </c>
    </row>
    <row r="8" spans="1:15" x14ac:dyDescent="0.3">
      <c r="A8" t="s">
        <v>5</v>
      </c>
      <c r="G8" s="2" t="s">
        <v>50</v>
      </c>
      <c r="H8" s="3">
        <v>12</v>
      </c>
      <c r="K8" s="2" t="s">
        <v>50</v>
      </c>
      <c r="L8" s="8">
        <v>34.583333333333336</v>
      </c>
      <c r="N8" s="2" t="s">
        <v>50</v>
      </c>
      <c r="O8" s="8">
        <v>7</v>
      </c>
    </row>
    <row r="9" spans="1:15" x14ac:dyDescent="0.3">
      <c r="A9" s="8">
        <v>36.670533642691417</v>
      </c>
      <c r="C9" s="17" t="s">
        <v>15</v>
      </c>
      <c r="D9" s="17" t="s">
        <v>16</v>
      </c>
      <c r="E9" s="22" t="s">
        <v>44</v>
      </c>
      <c r="F9" s="16"/>
      <c r="G9" s="2" t="s">
        <v>51</v>
      </c>
      <c r="H9" s="3">
        <v>19</v>
      </c>
      <c r="K9" s="2" t="s">
        <v>51</v>
      </c>
      <c r="L9" s="8">
        <v>38.684210526315788</v>
      </c>
      <c r="N9" s="2" t="s">
        <v>51</v>
      </c>
      <c r="O9" s="8">
        <v>3.1428571428571428</v>
      </c>
    </row>
    <row r="10" spans="1:15" x14ac:dyDescent="0.3">
      <c r="C10" s="18" t="str">
        <f>C4</f>
        <v>Admitted</v>
      </c>
      <c r="D10" s="18">
        <f>D4</f>
        <v>224</v>
      </c>
      <c r="E10" s="19">
        <f>E4</f>
        <v>0.51972157772621808</v>
      </c>
      <c r="F10" s="14"/>
      <c r="G10" s="2" t="s">
        <v>52</v>
      </c>
      <c r="H10" s="3">
        <v>9</v>
      </c>
      <c r="K10" s="2" t="s">
        <v>52</v>
      </c>
      <c r="L10" s="8">
        <v>34.777777777777779</v>
      </c>
      <c r="N10" s="2" t="s">
        <v>52</v>
      </c>
      <c r="O10" s="8">
        <v>8</v>
      </c>
    </row>
    <row r="11" spans="1:15" x14ac:dyDescent="0.3">
      <c r="C11" s="18" t="str">
        <f>C5</f>
        <v>Not Amitted</v>
      </c>
      <c r="D11" s="18">
        <f>D5</f>
        <v>207</v>
      </c>
      <c r="E11" s="20">
        <f>E5</f>
        <v>0.48027842227378192</v>
      </c>
      <c r="F11" s="15"/>
      <c r="G11" s="2" t="s">
        <v>53</v>
      </c>
      <c r="H11" s="3">
        <v>13</v>
      </c>
      <c r="K11" s="2" t="s">
        <v>53</v>
      </c>
      <c r="L11" s="8">
        <v>37.307692307692307</v>
      </c>
      <c r="N11" s="2" t="s">
        <v>53</v>
      </c>
      <c r="O11" s="8">
        <v>5.25</v>
      </c>
    </row>
    <row r="12" spans="1:15" x14ac:dyDescent="0.3">
      <c r="A12" t="s">
        <v>7</v>
      </c>
      <c r="G12" s="2" t="s">
        <v>54</v>
      </c>
      <c r="H12" s="3">
        <v>19</v>
      </c>
      <c r="K12" s="2" t="s">
        <v>54</v>
      </c>
      <c r="L12" s="8">
        <v>35.631578947368418</v>
      </c>
      <c r="N12" s="2" t="s">
        <v>54</v>
      </c>
      <c r="O12" s="8">
        <v>4.5714285714285712</v>
      </c>
    </row>
    <row r="13" spans="1:15" x14ac:dyDescent="0.3">
      <c r="A13" s="8">
        <v>4.7154471544715451</v>
      </c>
      <c r="G13" s="2" t="s">
        <v>55</v>
      </c>
      <c r="H13" s="3">
        <v>10</v>
      </c>
      <c r="K13" s="2" t="s">
        <v>55</v>
      </c>
      <c r="L13" s="8">
        <v>36.6</v>
      </c>
      <c r="N13" s="2" t="s">
        <v>55</v>
      </c>
      <c r="O13" s="8">
        <v>2.75</v>
      </c>
    </row>
    <row r="14" spans="1:15" x14ac:dyDescent="0.3">
      <c r="G14" s="2" t="s">
        <v>56</v>
      </c>
      <c r="H14" s="3">
        <v>20</v>
      </c>
      <c r="K14" s="2" t="s">
        <v>56</v>
      </c>
      <c r="L14" s="8">
        <v>39.700000000000003</v>
      </c>
      <c r="N14" s="2" t="s">
        <v>56</v>
      </c>
      <c r="O14" s="8">
        <v>4.5</v>
      </c>
    </row>
    <row r="15" spans="1:15" x14ac:dyDescent="0.3">
      <c r="A15" s="25" t="s">
        <v>26</v>
      </c>
      <c r="G15" s="2" t="s">
        <v>57</v>
      </c>
      <c r="H15" s="3">
        <v>15</v>
      </c>
      <c r="K15" s="2" t="s">
        <v>57</v>
      </c>
      <c r="L15" s="8">
        <v>37.4</v>
      </c>
      <c r="N15" s="2" t="s">
        <v>57</v>
      </c>
      <c r="O15" s="8">
        <v>5.5</v>
      </c>
    </row>
    <row r="16" spans="1:15" ht="15.6" x14ac:dyDescent="0.3">
      <c r="A16" s="1" t="s">
        <v>0</v>
      </c>
      <c r="B16" t="s">
        <v>25</v>
      </c>
      <c r="D16" s="10" t="s">
        <v>11</v>
      </c>
      <c r="G16" s="2" t="s">
        <v>58</v>
      </c>
      <c r="H16" s="3">
        <v>13</v>
      </c>
      <c r="K16" s="2" t="s">
        <v>58</v>
      </c>
      <c r="L16" s="8">
        <v>27.76923076923077</v>
      </c>
      <c r="N16" s="2" t="s">
        <v>58</v>
      </c>
      <c r="O16" s="8">
        <v>5.6</v>
      </c>
    </row>
    <row r="17" spans="1:15" x14ac:dyDescent="0.3">
      <c r="A17" s="2" t="s">
        <v>17</v>
      </c>
      <c r="B17" s="11">
        <v>42</v>
      </c>
      <c r="D17" s="1" t="s">
        <v>0</v>
      </c>
      <c r="E17" t="s">
        <v>29</v>
      </c>
      <c r="G17" s="2" t="s">
        <v>59</v>
      </c>
      <c r="H17" s="3">
        <v>9</v>
      </c>
      <c r="K17" s="2" t="s">
        <v>59</v>
      </c>
      <c r="L17" s="8">
        <v>38.777777777777779</v>
      </c>
      <c r="N17" s="2" t="s">
        <v>59</v>
      </c>
      <c r="O17" s="8">
        <v>5.75</v>
      </c>
    </row>
    <row r="18" spans="1:15" x14ac:dyDescent="0.3">
      <c r="A18" s="2" t="s">
        <v>18</v>
      </c>
      <c r="B18" s="11">
        <v>46</v>
      </c>
      <c r="D18" s="2" t="s">
        <v>28</v>
      </c>
      <c r="E18" s="11">
        <v>283</v>
      </c>
      <c r="G18" s="2" t="s">
        <v>60</v>
      </c>
      <c r="H18" s="3">
        <v>19</v>
      </c>
      <c r="K18" s="2" t="s">
        <v>60</v>
      </c>
      <c r="L18" s="8">
        <v>31</v>
      </c>
      <c r="N18" s="2" t="s">
        <v>60</v>
      </c>
      <c r="O18" s="8">
        <v>3.4444444444444446</v>
      </c>
    </row>
    <row r="19" spans="1:15" x14ac:dyDescent="0.3">
      <c r="A19" s="2" t="s">
        <v>19</v>
      </c>
      <c r="B19" s="11">
        <v>54</v>
      </c>
      <c r="D19" s="2" t="s">
        <v>27</v>
      </c>
      <c r="E19" s="11">
        <v>148</v>
      </c>
      <c r="G19" s="2" t="s">
        <v>61</v>
      </c>
      <c r="H19" s="3">
        <v>14</v>
      </c>
      <c r="K19" s="2" t="s">
        <v>61</v>
      </c>
      <c r="L19" s="8">
        <v>35.928571428571431</v>
      </c>
      <c r="N19" s="2" t="s">
        <v>61</v>
      </c>
      <c r="O19" s="8">
        <v>1.5</v>
      </c>
    </row>
    <row r="20" spans="1:15" x14ac:dyDescent="0.3">
      <c r="A20" s="2" t="s">
        <v>20</v>
      </c>
      <c r="B20" s="11">
        <v>68</v>
      </c>
      <c r="D20" s="2" t="s">
        <v>1</v>
      </c>
      <c r="E20" s="11">
        <v>431</v>
      </c>
      <c r="G20" s="2" t="s">
        <v>62</v>
      </c>
      <c r="H20" s="3">
        <v>17</v>
      </c>
      <c r="K20" s="2" t="s">
        <v>62</v>
      </c>
      <c r="L20" s="8">
        <v>37.882352941176471</v>
      </c>
      <c r="N20" s="2" t="s">
        <v>62</v>
      </c>
      <c r="O20" s="8">
        <v>3.6666666666666665</v>
      </c>
    </row>
    <row r="21" spans="1:15" x14ac:dyDescent="0.3">
      <c r="A21" s="2" t="s">
        <v>21</v>
      </c>
      <c r="B21" s="11">
        <v>62</v>
      </c>
      <c r="D21" s="12"/>
      <c r="E21" s="12"/>
      <c r="G21" s="2" t="s">
        <v>63</v>
      </c>
      <c r="H21" s="3">
        <v>17</v>
      </c>
      <c r="K21" s="2" t="s">
        <v>63</v>
      </c>
      <c r="L21" s="8">
        <v>40.588235294117645</v>
      </c>
      <c r="N21" s="2" t="s">
        <v>63</v>
      </c>
      <c r="O21" s="8">
        <v>4.4285714285714288</v>
      </c>
    </row>
    <row r="22" spans="1:15" x14ac:dyDescent="0.3">
      <c r="A22" s="2" t="s">
        <v>22</v>
      </c>
      <c r="B22" s="11">
        <v>52</v>
      </c>
      <c r="D22" s="12"/>
      <c r="E22" s="12"/>
      <c r="G22" s="2" t="s">
        <v>64</v>
      </c>
      <c r="H22" s="3">
        <v>15</v>
      </c>
      <c r="K22" s="2" t="s">
        <v>64</v>
      </c>
      <c r="L22" s="8">
        <v>34.533333333333331</v>
      </c>
      <c r="N22" s="2" t="s">
        <v>64</v>
      </c>
      <c r="O22" s="8">
        <v>6</v>
      </c>
    </row>
    <row r="23" spans="1:15" x14ac:dyDescent="0.3">
      <c r="A23" s="2" t="s">
        <v>23</v>
      </c>
      <c r="B23" s="11">
        <v>54</v>
      </c>
      <c r="D23" s="9" t="s">
        <v>30</v>
      </c>
      <c r="G23" s="2" t="s">
        <v>65</v>
      </c>
      <c r="H23" s="3">
        <v>9</v>
      </c>
      <c r="K23" s="2" t="s">
        <v>65</v>
      </c>
      <c r="L23" s="8">
        <v>40.333333333333336</v>
      </c>
      <c r="N23" s="2" t="s">
        <v>65</v>
      </c>
      <c r="O23" s="8">
        <v>2.6666666666666665</v>
      </c>
    </row>
    <row r="24" spans="1:15" x14ac:dyDescent="0.3">
      <c r="A24" s="2" t="s">
        <v>24</v>
      </c>
      <c r="B24" s="11">
        <v>53</v>
      </c>
      <c r="D24" s="1" t="s">
        <v>0</v>
      </c>
      <c r="E24" t="s">
        <v>33</v>
      </c>
      <c r="G24" s="2" t="s">
        <v>66</v>
      </c>
      <c r="H24" s="3">
        <v>14</v>
      </c>
      <c r="K24" s="2" t="s">
        <v>66</v>
      </c>
      <c r="L24" s="8">
        <v>35.285714285714285</v>
      </c>
      <c r="N24" s="2" t="s">
        <v>66</v>
      </c>
      <c r="O24" s="8">
        <v>7.5</v>
      </c>
    </row>
    <row r="25" spans="1:15" x14ac:dyDescent="0.3">
      <c r="A25" s="2" t="s">
        <v>1</v>
      </c>
      <c r="B25" s="11">
        <v>431</v>
      </c>
      <c r="D25" s="2" t="s">
        <v>31</v>
      </c>
      <c r="E25" s="11">
        <v>194</v>
      </c>
      <c r="G25" s="2" t="s">
        <v>67</v>
      </c>
      <c r="H25" s="3">
        <v>22</v>
      </c>
      <c r="K25" s="2" t="s">
        <v>67</v>
      </c>
      <c r="L25" s="8">
        <v>35.5</v>
      </c>
      <c r="N25" s="2" t="s">
        <v>67</v>
      </c>
      <c r="O25" s="8">
        <v>4.5</v>
      </c>
    </row>
    <row r="26" spans="1:15" x14ac:dyDescent="0.3">
      <c r="D26" s="2" t="s">
        <v>32</v>
      </c>
      <c r="E26" s="11">
        <v>237</v>
      </c>
      <c r="G26" s="2" t="s">
        <v>68</v>
      </c>
      <c r="H26" s="3">
        <v>16</v>
      </c>
      <c r="K26" s="2" t="s">
        <v>68</v>
      </c>
      <c r="L26" s="8">
        <v>38.5625</v>
      </c>
      <c r="N26" s="2" t="s">
        <v>68</v>
      </c>
      <c r="O26" s="8">
        <v>8</v>
      </c>
    </row>
    <row r="27" spans="1:15" x14ac:dyDescent="0.3">
      <c r="D27" s="2" t="s">
        <v>1</v>
      </c>
      <c r="E27" s="11">
        <v>431</v>
      </c>
      <c r="G27" s="2" t="s">
        <v>69</v>
      </c>
      <c r="H27" s="3">
        <v>22</v>
      </c>
      <c r="K27" s="2" t="s">
        <v>69</v>
      </c>
      <c r="L27" s="8">
        <v>42.727272727272727</v>
      </c>
      <c r="N27" s="2" t="s">
        <v>69</v>
      </c>
      <c r="O27" s="8">
        <v>4.3636363636363633</v>
      </c>
    </row>
    <row r="28" spans="1:15" x14ac:dyDescent="0.3">
      <c r="E28" s="13"/>
      <c r="G28" s="2" t="s">
        <v>70</v>
      </c>
      <c r="H28" s="3">
        <v>12</v>
      </c>
      <c r="K28" s="2" t="s">
        <v>70</v>
      </c>
      <c r="L28" s="8">
        <v>37.416666666666664</v>
      </c>
      <c r="N28" s="2" t="s">
        <v>70</v>
      </c>
      <c r="O28" s="8">
        <v>0</v>
      </c>
    </row>
    <row r="29" spans="1:15" x14ac:dyDescent="0.3">
      <c r="G29" s="2" t="s">
        <v>71</v>
      </c>
      <c r="H29" s="3">
        <v>20</v>
      </c>
      <c r="K29" s="2" t="s">
        <v>71</v>
      </c>
      <c r="L29" s="8">
        <v>32.450000000000003</v>
      </c>
      <c r="N29" s="2" t="s">
        <v>71</v>
      </c>
      <c r="O29" s="8">
        <v>10</v>
      </c>
    </row>
    <row r="30" spans="1:15" x14ac:dyDescent="0.3">
      <c r="A30" s="9" t="s">
        <v>43</v>
      </c>
      <c r="G30" s="2" t="s">
        <v>72</v>
      </c>
      <c r="H30" s="3">
        <v>18</v>
      </c>
      <c r="K30" s="2" t="s">
        <v>72</v>
      </c>
      <c r="L30" s="8">
        <v>40.055555555555557</v>
      </c>
      <c r="N30" s="2" t="s">
        <v>73</v>
      </c>
      <c r="O30" s="8">
        <v>6.75</v>
      </c>
    </row>
    <row r="31" spans="1:15" x14ac:dyDescent="0.3">
      <c r="A31" s="1" t="s">
        <v>0</v>
      </c>
      <c r="B31" t="s">
        <v>42</v>
      </c>
      <c r="G31" s="2" t="s">
        <v>73</v>
      </c>
      <c r="H31" s="3">
        <v>18</v>
      </c>
      <c r="K31" s="2" t="s">
        <v>73</v>
      </c>
      <c r="L31" s="8">
        <v>31.666666666666668</v>
      </c>
      <c r="N31" s="2" t="s">
        <v>74</v>
      </c>
      <c r="O31" s="8">
        <v>7</v>
      </c>
    </row>
    <row r="32" spans="1:15" x14ac:dyDescent="0.3">
      <c r="A32" s="2" t="s">
        <v>37</v>
      </c>
      <c r="B32" s="11">
        <v>6</v>
      </c>
      <c r="D32" s="1" t="s">
        <v>0</v>
      </c>
      <c r="G32" s="2" t="s">
        <v>74</v>
      </c>
      <c r="H32" s="3">
        <v>13</v>
      </c>
      <c r="K32" s="2" t="s">
        <v>74</v>
      </c>
      <c r="L32" s="8">
        <v>39.769230769230766</v>
      </c>
      <c r="N32" s="2" t="s">
        <v>75</v>
      </c>
      <c r="O32" s="8">
        <v>3.3333333333333335</v>
      </c>
    </row>
    <row r="33" spans="1:15" x14ac:dyDescent="0.3">
      <c r="A33" s="2" t="s">
        <v>35</v>
      </c>
      <c r="B33" s="11">
        <v>6</v>
      </c>
      <c r="D33" s="2" t="s">
        <v>2</v>
      </c>
      <c r="G33" s="2" t="s">
        <v>75</v>
      </c>
      <c r="H33" s="3">
        <v>15</v>
      </c>
      <c r="K33" s="2" t="s">
        <v>75</v>
      </c>
      <c r="L33" s="8">
        <v>36.733333333333334</v>
      </c>
      <c r="N33" s="2" t="s">
        <v>1</v>
      </c>
      <c r="O33" s="8">
        <v>4.7154471544715451</v>
      </c>
    </row>
    <row r="34" spans="1:15" x14ac:dyDescent="0.3">
      <c r="A34" s="2" t="s">
        <v>41</v>
      </c>
      <c r="B34" s="11">
        <v>6</v>
      </c>
      <c r="D34" s="2" t="s">
        <v>1</v>
      </c>
      <c r="G34" s="2" t="s">
        <v>1</v>
      </c>
      <c r="H34" s="3">
        <v>431</v>
      </c>
      <c r="K34" s="2" t="s">
        <v>1</v>
      </c>
      <c r="L34" s="8">
        <v>36.670533642691417</v>
      </c>
    </row>
    <row r="35" spans="1:15" x14ac:dyDescent="0.3">
      <c r="A35" s="2" t="s">
        <v>34</v>
      </c>
      <c r="B35" s="11">
        <v>12</v>
      </c>
    </row>
    <row r="36" spans="1:15" x14ac:dyDescent="0.3">
      <c r="A36" s="2" t="s">
        <v>40</v>
      </c>
      <c r="B36" s="11">
        <v>14</v>
      </c>
    </row>
    <row r="37" spans="1:15" x14ac:dyDescent="0.3">
      <c r="A37" s="2" t="s">
        <v>39</v>
      </c>
      <c r="B37" s="11">
        <v>46</v>
      </c>
    </row>
    <row r="38" spans="1:15" x14ac:dyDescent="0.3">
      <c r="A38" s="2" t="s">
        <v>36</v>
      </c>
      <c r="B38" s="11">
        <v>89</v>
      </c>
    </row>
    <row r="39" spans="1:15" x14ac:dyDescent="0.3">
      <c r="A39" s="2" t="s">
        <v>38</v>
      </c>
      <c r="B39" s="11">
        <v>252</v>
      </c>
    </row>
    <row r="40" spans="1:15" x14ac:dyDescent="0.3">
      <c r="A40" s="2" t="s">
        <v>1</v>
      </c>
      <c r="B40" s="11">
        <v>431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2DFE-2945-43F7-A3EB-A1478692F3DE}">
  <dimension ref="A1:M16"/>
  <sheetViews>
    <sheetView zoomScale="170" zoomScaleNormal="170" workbookViewId="0">
      <selection activeCell="M11" sqref="M11"/>
    </sheetView>
  </sheetViews>
  <sheetFormatPr defaultRowHeight="14.4" x14ac:dyDescent="0.3"/>
  <cols>
    <col min="12" max="12" width="4" customWidth="1"/>
  </cols>
  <sheetData>
    <row r="1" spans="1:13" x14ac:dyDescent="0.3">
      <c r="A1" s="4"/>
      <c r="B1" s="4"/>
      <c r="C1" s="4"/>
      <c r="D1" s="4"/>
      <c r="E1" s="4"/>
      <c r="F1" s="4"/>
      <c r="G1" s="4"/>
      <c r="H1" s="4"/>
      <c r="I1" s="4"/>
      <c r="J1" s="4"/>
      <c r="K1" s="4"/>
      <c r="L1" s="4"/>
    </row>
    <row r="2" spans="1:13" x14ac:dyDescent="0.3">
      <c r="A2" s="4"/>
      <c r="B2" s="4"/>
      <c r="C2" s="4"/>
      <c r="D2" s="4"/>
      <c r="E2" s="4"/>
      <c r="F2" s="4"/>
      <c r="G2" s="4"/>
      <c r="H2" s="4"/>
      <c r="I2" s="4"/>
      <c r="J2" s="4"/>
      <c r="K2" s="4"/>
      <c r="L2" s="4"/>
    </row>
    <row r="3" spans="1:13" x14ac:dyDescent="0.3">
      <c r="A3" s="4"/>
      <c r="B3" s="4"/>
      <c r="C3" s="4"/>
      <c r="D3" s="4"/>
      <c r="E3" s="4"/>
      <c r="F3" s="4"/>
      <c r="G3" s="4"/>
      <c r="H3" s="4"/>
      <c r="I3" s="4"/>
      <c r="J3" s="4"/>
      <c r="K3" s="4"/>
      <c r="L3" s="4"/>
    </row>
    <row r="4" spans="1:13" x14ac:dyDescent="0.3">
      <c r="A4" s="4"/>
      <c r="B4" s="4"/>
      <c r="C4" s="4"/>
      <c r="D4" s="4"/>
      <c r="E4" s="4"/>
      <c r="F4" s="4"/>
      <c r="G4" s="4"/>
      <c r="H4" s="4"/>
      <c r="I4" s="4"/>
      <c r="J4" s="4"/>
      <c r="K4" s="4"/>
      <c r="L4" s="4"/>
    </row>
    <row r="5" spans="1:13" x14ac:dyDescent="0.3">
      <c r="A5" s="4"/>
      <c r="B5" s="4"/>
      <c r="C5" s="4"/>
      <c r="D5" s="4"/>
      <c r="E5" s="4"/>
      <c r="F5" s="4"/>
      <c r="G5" s="4"/>
      <c r="H5" s="4"/>
      <c r="I5" s="4"/>
      <c r="J5" s="4"/>
      <c r="K5" s="4"/>
      <c r="L5" s="4"/>
      <c r="M5" s="21"/>
    </row>
    <row r="6" spans="1:13" x14ac:dyDescent="0.3">
      <c r="A6" s="4"/>
      <c r="B6" s="4"/>
      <c r="C6" s="4"/>
      <c r="D6" s="4"/>
      <c r="E6" s="4"/>
      <c r="F6" s="4"/>
      <c r="G6" s="4"/>
      <c r="H6" s="4"/>
      <c r="I6" s="4"/>
      <c r="J6" s="4"/>
      <c r="K6" s="4"/>
      <c r="L6" s="4"/>
    </row>
    <row r="7" spans="1:13" x14ac:dyDescent="0.3">
      <c r="A7" s="4"/>
      <c r="B7" s="4"/>
      <c r="C7" s="4"/>
      <c r="D7" s="4"/>
      <c r="E7" s="4"/>
      <c r="F7" s="4"/>
      <c r="G7" s="4"/>
      <c r="H7" s="4"/>
      <c r="I7" s="4"/>
      <c r="J7" s="4"/>
      <c r="K7" s="4"/>
      <c r="L7" s="4"/>
    </row>
    <row r="8" spans="1:13" x14ac:dyDescent="0.3">
      <c r="A8" s="4"/>
      <c r="B8" s="4"/>
      <c r="C8" s="4"/>
      <c r="D8" s="4"/>
      <c r="E8" s="4"/>
      <c r="F8" s="4"/>
      <c r="G8" s="4"/>
      <c r="H8" s="4"/>
      <c r="I8" s="4"/>
      <c r="J8" s="4"/>
      <c r="K8" s="4"/>
      <c r="L8" s="4"/>
    </row>
    <row r="9" spans="1:13" x14ac:dyDescent="0.3">
      <c r="A9" s="4"/>
      <c r="B9" s="4"/>
      <c r="C9" s="4"/>
      <c r="D9" s="4"/>
      <c r="E9" s="4"/>
      <c r="F9" s="4"/>
      <c r="G9" s="4"/>
      <c r="H9" s="4"/>
      <c r="I9" s="4"/>
      <c r="J9" s="4"/>
      <c r="K9" s="4"/>
      <c r="L9" s="4"/>
    </row>
    <row r="10" spans="1:13" x14ac:dyDescent="0.3">
      <c r="A10" s="4"/>
      <c r="B10" s="4"/>
      <c r="C10" s="4"/>
      <c r="D10" s="4"/>
      <c r="E10" s="4"/>
      <c r="F10" s="4"/>
      <c r="G10" s="4"/>
      <c r="H10" s="4"/>
      <c r="I10" s="4"/>
      <c r="J10" s="4"/>
      <c r="K10" s="4"/>
      <c r="L10" s="4"/>
    </row>
    <row r="11" spans="1:13" x14ac:dyDescent="0.3">
      <c r="A11" s="4"/>
      <c r="B11" s="4"/>
      <c r="C11" s="4"/>
      <c r="D11" s="4"/>
      <c r="E11" s="4"/>
      <c r="F11" s="4"/>
      <c r="G11" s="4"/>
      <c r="H11" s="4"/>
      <c r="I11" s="5" t="s">
        <v>6</v>
      </c>
      <c r="J11" s="4"/>
      <c r="K11" s="4"/>
      <c r="L11" s="4"/>
    </row>
    <row r="12" spans="1:13" x14ac:dyDescent="0.3">
      <c r="A12" s="4"/>
      <c r="B12" s="4"/>
      <c r="C12" s="4"/>
      <c r="D12" s="4"/>
      <c r="E12" s="4"/>
      <c r="F12" s="4"/>
      <c r="G12" s="4"/>
      <c r="H12" s="4"/>
      <c r="I12" s="4"/>
      <c r="J12" s="4"/>
      <c r="K12" s="4"/>
      <c r="L12" s="4"/>
    </row>
    <row r="13" spans="1:13" x14ac:dyDescent="0.3">
      <c r="A13" s="4"/>
      <c r="B13" s="4"/>
      <c r="C13" s="4"/>
      <c r="D13" s="4"/>
      <c r="E13" s="4"/>
      <c r="F13" s="4"/>
      <c r="G13" s="4"/>
      <c r="H13" s="4"/>
      <c r="I13" s="4"/>
      <c r="J13" s="4"/>
      <c r="K13" s="4"/>
      <c r="L13" s="4"/>
    </row>
    <row r="14" spans="1:13" x14ac:dyDescent="0.3">
      <c r="A14" s="4"/>
      <c r="B14" s="4"/>
      <c r="C14" s="4"/>
      <c r="D14" s="4"/>
      <c r="E14" s="4"/>
      <c r="F14" s="4"/>
      <c r="G14" s="4"/>
      <c r="H14" s="4"/>
      <c r="I14" s="4"/>
      <c r="J14" s="4"/>
      <c r="K14" s="4"/>
      <c r="L14" s="4"/>
    </row>
    <row r="15" spans="1:13" x14ac:dyDescent="0.3">
      <c r="A15" s="4"/>
      <c r="B15" s="4"/>
      <c r="C15" s="4"/>
      <c r="D15" s="4"/>
      <c r="E15" s="4"/>
      <c r="F15" s="4"/>
      <c r="G15" s="4"/>
      <c r="H15" s="4"/>
      <c r="I15" s="4"/>
      <c r="J15" s="4"/>
      <c r="K15" s="4"/>
      <c r="L15" s="4"/>
    </row>
    <row r="16" spans="1:13" x14ac:dyDescent="0.3">
      <c r="A16" s="4"/>
      <c r="B16" s="4"/>
      <c r="C16" s="4"/>
      <c r="D16" s="4"/>
      <c r="E16" s="4"/>
      <c r="F16" s="4"/>
      <c r="G16" s="4"/>
      <c r="H16" s="4"/>
      <c r="I16" s="4"/>
      <c r="J16" s="4"/>
      <c r="K16" s="4"/>
      <c r="L1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4505-2F73-4BF5-B604-0AF66B0B8A3B}">
  <dimension ref="A1:AY24"/>
  <sheetViews>
    <sheetView workbookViewId="0"/>
  </sheetViews>
  <sheetFormatPr defaultRowHeight="14.4" x14ac:dyDescent="0.3"/>
  <sheetData>
    <row r="1" spans="1:51" x14ac:dyDescent="0.3">
      <c r="A1" s="7"/>
      <c r="B1" s="7"/>
      <c r="AF1" s="6"/>
      <c r="AG1" s="6"/>
      <c r="AH1" s="6"/>
      <c r="AI1" s="6"/>
      <c r="AJ1" s="6"/>
      <c r="AK1" s="6"/>
      <c r="AL1" s="6"/>
      <c r="AM1" s="6"/>
      <c r="AN1" s="6"/>
      <c r="AO1" s="6"/>
      <c r="AP1" s="6"/>
      <c r="AQ1" s="6"/>
      <c r="AR1" s="6"/>
      <c r="AS1" s="6"/>
      <c r="AT1" s="6"/>
      <c r="AU1" s="6"/>
      <c r="AV1" s="6"/>
      <c r="AW1" s="6"/>
      <c r="AX1" s="6"/>
      <c r="AY1" s="6"/>
    </row>
    <row r="2" spans="1:51" x14ac:dyDescent="0.3">
      <c r="A2" s="7"/>
      <c r="B2" s="7"/>
      <c r="AF2" s="6"/>
      <c r="AG2" s="6"/>
      <c r="AH2" s="6"/>
      <c r="AI2" s="6"/>
      <c r="AJ2" s="6"/>
      <c r="AK2" s="6"/>
      <c r="AL2" s="6"/>
      <c r="AM2" s="6"/>
      <c r="AN2" s="6"/>
      <c r="AO2" s="6"/>
      <c r="AP2" s="6"/>
      <c r="AQ2" s="6"/>
      <c r="AR2" s="6"/>
      <c r="AS2" s="6"/>
      <c r="AT2" s="6"/>
      <c r="AU2" s="6"/>
      <c r="AV2" s="6"/>
      <c r="AW2" s="6"/>
      <c r="AX2" s="6"/>
      <c r="AY2" s="6"/>
    </row>
    <row r="3" spans="1:51" x14ac:dyDescent="0.3">
      <c r="A3" s="7"/>
      <c r="B3" s="7"/>
      <c r="AF3" s="6"/>
      <c r="AG3" s="6"/>
      <c r="AH3" s="6"/>
      <c r="AI3" s="6"/>
      <c r="AJ3" s="6"/>
      <c r="AK3" s="6"/>
      <c r="AL3" s="6"/>
      <c r="AM3" s="6"/>
      <c r="AN3" s="6"/>
      <c r="AO3" s="6"/>
      <c r="AP3" s="6"/>
      <c r="AQ3" s="6"/>
      <c r="AR3" s="6"/>
      <c r="AS3" s="6"/>
      <c r="AT3" s="6"/>
      <c r="AU3" s="6"/>
      <c r="AV3" s="6"/>
      <c r="AW3" s="6"/>
      <c r="AX3" s="6"/>
      <c r="AY3" s="6"/>
    </row>
    <row r="4" spans="1:51" x14ac:dyDescent="0.3">
      <c r="A4" s="7"/>
      <c r="B4" s="7"/>
      <c r="AF4" s="6"/>
      <c r="AG4" s="6"/>
      <c r="AH4" s="6"/>
      <c r="AI4" s="6"/>
      <c r="AJ4" s="6"/>
      <c r="AK4" s="6"/>
      <c r="AL4" s="6"/>
      <c r="AM4" s="6"/>
      <c r="AN4" s="6"/>
      <c r="AO4" s="6"/>
      <c r="AP4" s="6"/>
      <c r="AQ4" s="6"/>
      <c r="AR4" s="6"/>
      <c r="AS4" s="6"/>
      <c r="AT4" s="6"/>
      <c r="AU4" s="6"/>
      <c r="AV4" s="6"/>
      <c r="AW4" s="6"/>
      <c r="AX4" s="6"/>
      <c r="AY4" s="6"/>
    </row>
    <row r="5" spans="1:51" x14ac:dyDescent="0.3">
      <c r="AF5" s="6"/>
      <c r="AG5" s="6"/>
      <c r="AH5" s="6"/>
      <c r="AI5" s="6"/>
      <c r="AJ5" s="6"/>
      <c r="AK5" s="6"/>
      <c r="AL5" s="6"/>
      <c r="AM5" s="6"/>
      <c r="AN5" s="6"/>
      <c r="AO5" s="6"/>
      <c r="AP5" s="6"/>
      <c r="AQ5" s="6"/>
      <c r="AR5" s="6"/>
      <c r="AS5" s="6"/>
      <c r="AT5" s="6"/>
      <c r="AU5" s="6"/>
      <c r="AV5" s="6"/>
      <c r="AW5" s="6"/>
      <c r="AX5" s="6"/>
      <c r="AY5" s="6"/>
    </row>
    <row r="6" spans="1:51" x14ac:dyDescent="0.3">
      <c r="AF6" s="6"/>
      <c r="AG6" s="6"/>
      <c r="AH6" s="6"/>
      <c r="AI6" s="6"/>
      <c r="AJ6" s="6"/>
      <c r="AK6" s="6"/>
      <c r="AL6" s="6"/>
      <c r="AM6" s="6"/>
      <c r="AN6" s="6"/>
      <c r="AO6" s="6"/>
      <c r="AP6" s="6"/>
      <c r="AQ6" s="6"/>
      <c r="AR6" s="6"/>
      <c r="AS6" s="6"/>
      <c r="AT6" s="6"/>
      <c r="AU6" s="6"/>
      <c r="AV6" s="6"/>
      <c r="AW6" s="6"/>
      <c r="AX6" s="6"/>
      <c r="AY6" s="6"/>
    </row>
    <row r="7" spans="1:51" x14ac:dyDescent="0.3">
      <c r="AF7" s="6"/>
      <c r="AG7" s="6"/>
      <c r="AH7" s="6"/>
      <c r="AI7" s="6"/>
      <c r="AJ7" s="6"/>
      <c r="AK7" s="6"/>
      <c r="AL7" s="6"/>
      <c r="AM7" s="6"/>
      <c r="AN7" s="6"/>
      <c r="AO7" s="6"/>
      <c r="AP7" s="6"/>
      <c r="AQ7" s="6"/>
      <c r="AR7" s="6"/>
      <c r="AS7" s="6"/>
      <c r="AT7" s="6"/>
      <c r="AU7" s="6"/>
      <c r="AV7" s="6"/>
      <c r="AW7" s="6"/>
      <c r="AX7" s="6"/>
      <c r="AY7" s="6"/>
    </row>
    <row r="8" spans="1:51" x14ac:dyDescent="0.3">
      <c r="AF8" s="6"/>
      <c r="AG8" s="6"/>
      <c r="AH8" s="6"/>
      <c r="AI8" s="6"/>
      <c r="AJ8" s="6"/>
      <c r="AK8" s="6"/>
      <c r="AL8" s="6"/>
      <c r="AM8" s="6"/>
      <c r="AN8" s="6"/>
      <c r="AO8" s="6"/>
      <c r="AP8" s="6"/>
      <c r="AQ8" s="6"/>
      <c r="AR8" s="6"/>
      <c r="AS8" s="6"/>
      <c r="AT8" s="6"/>
      <c r="AU8" s="6"/>
      <c r="AV8" s="6"/>
      <c r="AW8" s="6"/>
      <c r="AX8" s="6"/>
      <c r="AY8" s="6"/>
    </row>
    <row r="9" spans="1:51" x14ac:dyDescent="0.3">
      <c r="AF9" s="6"/>
      <c r="AG9" s="6"/>
      <c r="AH9" s="6"/>
      <c r="AI9" s="6"/>
      <c r="AJ9" s="6"/>
      <c r="AK9" s="6"/>
      <c r="AL9" s="6"/>
      <c r="AM9" s="6"/>
      <c r="AN9" s="6"/>
      <c r="AO9" s="6"/>
      <c r="AP9" s="6"/>
      <c r="AQ9" s="6"/>
      <c r="AR9" s="6"/>
      <c r="AS9" s="6"/>
      <c r="AT9" s="6"/>
      <c r="AU9" s="6"/>
      <c r="AV9" s="6"/>
      <c r="AW9" s="6"/>
      <c r="AX9" s="6"/>
      <c r="AY9" s="6"/>
    </row>
    <row r="10" spans="1:51" x14ac:dyDescent="0.3">
      <c r="AF10" s="6"/>
      <c r="AG10" s="6"/>
      <c r="AH10" s="6"/>
      <c r="AI10" s="6"/>
      <c r="AJ10" s="6"/>
      <c r="AK10" s="6"/>
      <c r="AL10" s="6"/>
      <c r="AM10" s="6"/>
      <c r="AN10" s="6"/>
      <c r="AO10" s="6"/>
      <c r="AP10" s="6"/>
      <c r="AQ10" s="6"/>
      <c r="AR10" s="6"/>
      <c r="AS10" s="6"/>
      <c r="AT10" s="6"/>
      <c r="AU10" s="6"/>
      <c r="AV10" s="6"/>
      <c r="AW10" s="6"/>
      <c r="AX10" s="6"/>
      <c r="AY10" s="6"/>
    </row>
    <row r="11" spans="1:51" x14ac:dyDescent="0.3">
      <c r="AF11" s="6"/>
      <c r="AG11" s="6"/>
      <c r="AH11" s="6"/>
      <c r="AI11" s="6"/>
      <c r="AJ11" s="6"/>
      <c r="AK11" s="6"/>
      <c r="AL11" s="6"/>
      <c r="AM11" s="6"/>
      <c r="AN11" s="6"/>
      <c r="AO11" s="6"/>
      <c r="AP11" s="6"/>
      <c r="AQ11" s="6"/>
      <c r="AR11" s="6"/>
      <c r="AS11" s="6"/>
      <c r="AT11" s="6"/>
      <c r="AU11" s="6"/>
      <c r="AV11" s="6"/>
      <c r="AW11" s="6"/>
      <c r="AX11" s="6"/>
      <c r="AY11" s="6"/>
    </row>
    <row r="12" spans="1:51" x14ac:dyDescent="0.3">
      <c r="AF12" s="6"/>
      <c r="AG12" s="6"/>
      <c r="AH12" s="6"/>
      <c r="AI12" s="6"/>
      <c r="AJ12" s="6"/>
      <c r="AK12" s="6"/>
      <c r="AL12" s="6"/>
      <c r="AM12" s="6"/>
      <c r="AN12" s="6"/>
      <c r="AO12" s="6"/>
      <c r="AP12" s="6"/>
      <c r="AQ12" s="6"/>
      <c r="AR12" s="6"/>
      <c r="AS12" s="6"/>
      <c r="AT12" s="6"/>
      <c r="AU12" s="6"/>
      <c r="AV12" s="6"/>
      <c r="AW12" s="6"/>
      <c r="AX12" s="6"/>
      <c r="AY12" s="6"/>
    </row>
    <row r="13" spans="1:51" x14ac:dyDescent="0.3">
      <c r="AF13" s="6"/>
      <c r="AG13" s="6"/>
      <c r="AH13" s="6"/>
      <c r="AI13" s="6"/>
      <c r="AJ13" s="6"/>
      <c r="AK13" s="6"/>
      <c r="AL13" s="6"/>
      <c r="AM13" s="6"/>
      <c r="AN13" s="6"/>
      <c r="AO13" s="6"/>
      <c r="AP13" s="6"/>
      <c r="AQ13" s="6"/>
      <c r="AR13" s="6"/>
      <c r="AS13" s="6"/>
      <c r="AT13" s="6"/>
      <c r="AU13" s="6"/>
      <c r="AV13" s="6"/>
      <c r="AW13" s="6"/>
      <c r="AX13" s="6"/>
      <c r="AY13" s="6"/>
    </row>
    <row r="14" spans="1:51" x14ac:dyDescent="0.3">
      <c r="AF14" s="6"/>
      <c r="AG14" s="6"/>
      <c r="AH14" s="6"/>
      <c r="AI14" s="6"/>
      <c r="AJ14" s="6"/>
      <c r="AK14" s="6"/>
      <c r="AL14" s="6"/>
      <c r="AM14" s="6"/>
      <c r="AN14" s="6"/>
      <c r="AO14" s="6"/>
      <c r="AP14" s="6"/>
      <c r="AQ14" s="6"/>
      <c r="AR14" s="6"/>
      <c r="AS14" s="6"/>
      <c r="AT14" s="6"/>
      <c r="AU14" s="6"/>
      <c r="AV14" s="6"/>
      <c r="AW14" s="6"/>
      <c r="AX14" s="6"/>
      <c r="AY14" s="6"/>
    </row>
    <row r="15" spans="1:51" x14ac:dyDescent="0.3">
      <c r="AF15" s="6"/>
      <c r="AG15" s="6"/>
      <c r="AH15" s="6"/>
      <c r="AI15" s="6"/>
      <c r="AJ15" s="6"/>
      <c r="AK15" s="6"/>
      <c r="AL15" s="6"/>
      <c r="AM15" s="6"/>
      <c r="AN15" s="6"/>
      <c r="AO15" s="6"/>
      <c r="AP15" s="6"/>
      <c r="AQ15" s="6"/>
      <c r="AR15" s="6"/>
      <c r="AS15" s="6"/>
      <c r="AT15" s="6"/>
      <c r="AU15" s="6"/>
      <c r="AV15" s="6"/>
      <c r="AW15" s="6"/>
      <c r="AX15" s="6"/>
      <c r="AY15" s="6"/>
    </row>
    <row r="16" spans="1:51" x14ac:dyDescent="0.3">
      <c r="AF16" s="6"/>
      <c r="AG16" s="6"/>
      <c r="AH16" s="6"/>
      <c r="AI16" s="6"/>
      <c r="AJ16" s="6"/>
      <c r="AK16" s="6"/>
      <c r="AL16" s="6"/>
      <c r="AM16" s="6"/>
      <c r="AN16" s="6"/>
      <c r="AO16" s="6"/>
      <c r="AP16" s="6"/>
      <c r="AQ16" s="6"/>
      <c r="AR16" s="6"/>
      <c r="AS16" s="6"/>
      <c r="AT16" s="6"/>
      <c r="AU16" s="6"/>
      <c r="AV16" s="6"/>
      <c r="AW16" s="6"/>
      <c r="AX16" s="6"/>
      <c r="AY16" s="6"/>
    </row>
    <row r="17" spans="32:51" x14ac:dyDescent="0.3">
      <c r="AF17" s="6"/>
      <c r="AG17" s="6"/>
      <c r="AH17" s="6"/>
      <c r="AI17" s="6"/>
      <c r="AJ17" s="6"/>
      <c r="AK17" s="6"/>
      <c r="AL17" s="6"/>
      <c r="AM17" s="6"/>
      <c r="AN17" s="6"/>
      <c r="AO17" s="6"/>
      <c r="AP17" s="6"/>
      <c r="AQ17" s="6"/>
      <c r="AR17" s="6"/>
      <c r="AS17" s="6"/>
      <c r="AT17" s="6"/>
      <c r="AU17" s="6"/>
      <c r="AV17" s="6"/>
      <c r="AW17" s="6"/>
      <c r="AX17" s="6"/>
      <c r="AY17" s="6"/>
    </row>
    <row r="18" spans="32:51" x14ac:dyDescent="0.3">
      <c r="AF18" s="6"/>
      <c r="AG18" s="6"/>
      <c r="AH18" s="6"/>
      <c r="AI18" s="6"/>
      <c r="AJ18" s="6"/>
      <c r="AK18" s="6"/>
      <c r="AL18" s="6"/>
      <c r="AM18" s="6"/>
      <c r="AN18" s="6"/>
      <c r="AO18" s="6"/>
      <c r="AP18" s="6"/>
      <c r="AQ18" s="6"/>
      <c r="AR18" s="6"/>
      <c r="AS18" s="6"/>
      <c r="AT18" s="6"/>
      <c r="AU18" s="6"/>
      <c r="AV18" s="6"/>
      <c r="AW18" s="6"/>
      <c r="AX18" s="6"/>
      <c r="AY18" s="6"/>
    </row>
    <row r="19" spans="32:51" x14ac:dyDescent="0.3">
      <c r="AF19" s="6"/>
      <c r="AG19" s="6"/>
      <c r="AH19" s="6"/>
      <c r="AI19" s="6"/>
      <c r="AJ19" s="6"/>
      <c r="AK19" s="6"/>
      <c r="AL19" s="6"/>
      <c r="AM19" s="6"/>
      <c r="AN19" s="6"/>
      <c r="AO19" s="6"/>
      <c r="AP19" s="6"/>
      <c r="AQ19" s="6"/>
      <c r="AR19" s="6"/>
      <c r="AS19" s="6"/>
      <c r="AT19" s="6"/>
      <c r="AU19" s="6"/>
      <c r="AV19" s="6"/>
      <c r="AW19" s="6"/>
      <c r="AX19" s="6"/>
      <c r="AY19" s="6"/>
    </row>
    <row r="20" spans="32:51" x14ac:dyDescent="0.3">
      <c r="AF20" s="6"/>
      <c r="AG20" s="6"/>
      <c r="AH20" s="6"/>
      <c r="AI20" s="6"/>
      <c r="AJ20" s="6"/>
      <c r="AK20" s="6"/>
      <c r="AL20" s="6"/>
      <c r="AM20" s="6"/>
      <c r="AN20" s="6"/>
      <c r="AO20" s="6"/>
      <c r="AP20" s="6"/>
      <c r="AQ20" s="6"/>
      <c r="AR20" s="6"/>
      <c r="AS20" s="6"/>
      <c r="AT20" s="6"/>
      <c r="AU20" s="6"/>
      <c r="AV20" s="6"/>
      <c r="AW20" s="6"/>
      <c r="AX20" s="6"/>
      <c r="AY20" s="6"/>
    </row>
    <row r="21" spans="32:51" x14ac:dyDescent="0.3">
      <c r="AF21" s="6"/>
      <c r="AG21" s="6"/>
      <c r="AH21" s="6"/>
      <c r="AI21" s="6"/>
      <c r="AJ21" s="6"/>
      <c r="AK21" s="6"/>
      <c r="AL21" s="6"/>
      <c r="AM21" s="6"/>
      <c r="AN21" s="6"/>
      <c r="AO21" s="6"/>
      <c r="AP21" s="6"/>
      <c r="AQ21" s="6"/>
      <c r="AR21" s="6"/>
      <c r="AS21" s="6"/>
      <c r="AT21" s="6"/>
      <c r="AU21" s="6"/>
      <c r="AV21" s="6"/>
      <c r="AW21" s="6"/>
      <c r="AX21" s="6"/>
      <c r="AY21" s="6"/>
    </row>
    <row r="22" spans="32:51" x14ac:dyDescent="0.3">
      <c r="AF22" s="6"/>
      <c r="AG22" s="6"/>
      <c r="AH22" s="6"/>
      <c r="AI22" s="6"/>
      <c r="AJ22" s="6"/>
      <c r="AK22" s="6"/>
      <c r="AL22" s="6"/>
      <c r="AM22" s="6"/>
      <c r="AN22" s="6"/>
      <c r="AO22" s="6"/>
      <c r="AP22" s="6"/>
      <c r="AQ22" s="6"/>
      <c r="AR22" s="6"/>
      <c r="AS22" s="6"/>
      <c r="AT22" s="6"/>
      <c r="AU22" s="6"/>
      <c r="AV22" s="6"/>
      <c r="AW22" s="6"/>
      <c r="AX22" s="6"/>
      <c r="AY22" s="6"/>
    </row>
    <row r="23" spans="32:51" x14ac:dyDescent="0.3">
      <c r="AF23" s="6"/>
      <c r="AG23" s="6"/>
      <c r="AH23" s="6"/>
      <c r="AI23" s="6"/>
      <c r="AJ23" s="6"/>
      <c r="AK23" s="6"/>
      <c r="AL23" s="6"/>
      <c r="AM23" s="6"/>
      <c r="AN23" s="6"/>
      <c r="AO23" s="6"/>
      <c r="AP23" s="6"/>
      <c r="AQ23" s="6"/>
      <c r="AR23" s="6"/>
      <c r="AS23" s="6"/>
      <c r="AT23" s="6"/>
      <c r="AU23" s="6"/>
      <c r="AV23" s="6"/>
      <c r="AW23" s="6"/>
      <c r="AX23" s="6"/>
      <c r="AY23" s="6"/>
    </row>
    <row r="24" spans="32:51" x14ac:dyDescent="0.3">
      <c r="AF24" s="6"/>
      <c r="AG24" s="6"/>
      <c r="AH24" s="6"/>
      <c r="AI24" s="6"/>
      <c r="AJ24" s="6"/>
      <c r="AK24" s="6"/>
      <c r="AL24" s="6"/>
      <c r="AM24" s="6"/>
      <c r="AN24" s="6"/>
      <c r="AO24" s="6"/>
      <c r="AP24" s="6"/>
      <c r="AQ24" s="6"/>
      <c r="AR24" s="6"/>
      <c r="AS24" s="6"/>
      <c r="AT24" s="6"/>
      <c r="AU24" s="6"/>
      <c r="AV24" s="6"/>
      <c r="AW24" s="6"/>
      <c r="AX24" s="6"/>
      <c r="AY24"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29CB-969F-4BE4-809B-CC67F2B07311}">
  <dimension ref="A1:B4"/>
  <sheetViews>
    <sheetView workbookViewId="0">
      <selection activeCell="E29" sqref="E29"/>
    </sheetView>
  </sheetViews>
  <sheetFormatPr defaultRowHeight="14.4" x14ac:dyDescent="0.3"/>
  <sheetData>
    <row r="1" spans="1:2" x14ac:dyDescent="0.3">
      <c r="A1" s="6"/>
      <c r="B1" s="6"/>
    </row>
    <row r="2" spans="1:2" x14ac:dyDescent="0.3">
      <c r="A2" s="6"/>
      <c r="B2" s="6"/>
    </row>
    <row r="3" spans="1:2" x14ac:dyDescent="0.3">
      <c r="A3" s="6"/>
      <c r="B3" s="6"/>
    </row>
    <row r="4" spans="1:2" x14ac:dyDescent="0.3">
      <c r="A4" s="6"/>
      <c r="B4"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481C1-6A0D-463C-89B2-27601B61DCB9}">
  <dimension ref="A1:B4"/>
  <sheetViews>
    <sheetView workbookViewId="0">
      <selection activeCell="G2" sqref="G2"/>
    </sheetView>
  </sheetViews>
  <sheetFormatPr defaultRowHeight="14.4" x14ac:dyDescent="0.3"/>
  <sheetData>
    <row r="1" spans="1:2" x14ac:dyDescent="0.3">
      <c r="A1" s="6"/>
      <c r="B1" s="6"/>
    </row>
    <row r="2" spans="1:2" x14ac:dyDescent="0.3">
      <c r="A2" s="6"/>
      <c r="B2" s="6"/>
    </row>
    <row r="3" spans="1:2" x14ac:dyDescent="0.3">
      <c r="A3" s="6"/>
      <c r="B3" s="6"/>
    </row>
    <row r="4" spans="1:2" x14ac:dyDescent="0.3">
      <c r="A4" s="6"/>
      <c r="B4"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DE2CD-0768-4F03-9FC8-021FCD7B3563}">
  <dimension ref="C3:R7"/>
  <sheetViews>
    <sheetView tabSelected="1" workbookViewId="0">
      <selection activeCell="C3" sqref="C3:E3"/>
    </sheetView>
  </sheetViews>
  <sheetFormatPr defaultRowHeight="14.4" x14ac:dyDescent="0.3"/>
  <sheetData>
    <row r="3" spans="3:18" ht="21" x14ac:dyDescent="0.4">
      <c r="C3" s="24" t="s">
        <v>46</v>
      </c>
      <c r="D3" s="24"/>
      <c r="E3" s="24"/>
    </row>
    <row r="5" spans="3:18" x14ac:dyDescent="0.3">
      <c r="E5" s="23" t="s">
        <v>45</v>
      </c>
      <c r="F5" s="23"/>
      <c r="G5" s="23"/>
      <c r="H5" s="23"/>
      <c r="I5" s="23"/>
      <c r="J5" s="23"/>
      <c r="K5" s="23"/>
      <c r="L5" s="23"/>
      <c r="M5" s="23"/>
      <c r="N5" s="23"/>
      <c r="O5" s="23"/>
      <c r="P5" s="23"/>
      <c r="Q5" s="23"/>
      <c r="R5" s="23"/>
    </row>
    <row r="6" spans="3:18" ht="14.4" customHeight="1" x14ac:dyDescent="0.3">
      <c r="E6" s="23"/>
      <c r="F6" s="23"/>
      <c r="G6" s="23"/>
      <c r="H6" s="23"/>
      <c r="I6" s="23"/>
      <c r="J6" s="23"/>
      <c r="K6" s="23"/>
      <c r="L6" s="23"/>
      <c r="M6" s="23"/>
      <c r="N6" s="23"/>
      <c r="O6" s="23"/>
      <c r="P6" s="23"/>
      <c r="Q6" s="23"/>
      <c r="R6" s="23"/>
    </row>
    <row r="7" spans="3:18" ht="14.4" customHeight="1" x14ac:dyDescent="0.3">
      <c r="E7" s="23"/>
      <c r="F7" s="23"/>
      <c r="G7" s="23"/>
      <c r="H7" s="23"/>
      <c r="I7" s="23"/>
      <c r="J7" s="23"/>
      <c r="K7" s="23"/>
      <c r="L7" s="23"/>
      <c r="M7" s="23"/>
      <c r="N7" s="23"/>
      <c r="O7" s="23"/>
      <c r="P7" s="23"/>
      <c r="Q7" s="23"/>
      <c r="R7" s="23"/>
    </row>
  </sheetData>
  <mergeCells count="2">
    <mergeCell ref="E5:R7"/>
    <mergeCell ref="C3: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2291AED-7CE3-4D5F-B1AD-938FB7D293F1}">
  <ds:schemaRefs/>
</ds:datastoreItem>
</file>

<file path=customXml/itemProps2.xml><?xml version="1.0" encoding="utf-8"?>
<ds:datastoreItem xmlns:ds="http://schemas.openxmlformats.org/officeDocument/2006/customXml" ds:itemID="{96D3DD50-5B7E-40F2-9896-7DF59F0F9C42}">
  <ds:schemaRefs/>
</ds:datastoreItem>
</file>

<file path=customXml/itemProps3.xml><?xml version="1.0" encoding="utf-8"?>
<ds:datastoreItem xmlns:ds="http://schemas.openxmlformats.org/officeDocument/2006/customXml" ds:itemID="{73288CD0-0024-4020-A2C1-DB6965B45FC2}">
  <ds:schemaRefs/>
</ds:datastoreItem>
</file>

<file path=customXml/itemProps4.xml><?xml version="1.0" encoding="utf-8"?>
<ds:datastoreItem xmlns:ds="http://schemas.openxmlformats.org/officeDocument/2006/customXml" ds:itemID="{AB1F2202-0953-489D-8138-ACCD29967776}">
  <ds:schemaRefs/>
</ds:datastoreItem>
</file>

<file path=customXml/itemProps5.xml><?xml version="1.0" encoding="utf-8"?>
<ds:datastoreItem xmlns:ds="http://schemas.openxmlformats.org/officeDocument/2006/customXml" ds:itemID="{428E9153-8A22-4DC7-A6F5-852BC4AC80D2}">
  <ds:schemaRefs/>
</ds:datastoreItem>
</file>

<file path=customXml/itemProps6.xml><?xml version="1.0" encoding="utf-8"?>
<ds:datastoreItem xmlns:ds="http://schemas.openxmlformats.org/officeDocument/2006/customXml" ds:itemID="{C1830FBC-E7B0-4136-9701-A17B1F3B781D}">
  <ds:schemaRefs/>
</ds:datastoreItem>
</file>

<file path=customXml/itemProps7.xml><?xml version="1.0" encoding="utf-8"?>
<ds:datastoreItem xmlns:ds="http://schemas.openxmlformats.org/officeDocument/2006/customXml" ds:itemID="{254B400C-6656-4F5A-B174-F34EB9FC2DBA}">
  <ds:schemaRefs/>
</ds:datastoreItem>
</file>

<file path=customXml/itemProps8.xml><?xml version="1.0" encoding="utf-8"?>
<ds:datastoreItem xmlns:ds="http://schemas.openxmlformats.org/officeDocument/2006/customXml" ds:itemID="{0B41B92E-9DA2-4615-853C-83CB5961A0E7}">
  <ds:schemaRefs/>
</ds:datastoreItem>
</file>

<file path=customXml/itemProps9.xml><?xml version="1.0" encoding="utf-8"?>
<ds:datastoreItem xmlns:ds="http://schemas.openxmlformats.org/officeDocument/2006/customXml" ds:itemID="{67B593AF-7033-4B08-87EB-80338E5D4269}">
  <ds:schemaRefs/>
</ds:datastoreItem>
</file>

<file path=customXml/itemProps10.xml><?xml version="1.0" encoding="utf-8"?>
<ds:datastoreItem xmlns:ds="http://schemas.openxmlformats.org/officeDocument/2006/customXml" ds:itemID="{D05EF595-3E02-421F-BB31-543B82CAE734}">
  <ds:schemaRefs/>
</ds:datastoreItem>
</file>

<file path=customXml/itemProps11.xml><?xml version="1.0" encoding="utf-8"?>
<ds:datastoreItem xmlns:ds="http://schemas.openxmlformats.org/officeDocument/2006/customXml" ds:itemID="{7420FEDF-8FF5-44E0-BF99-67D5AE0276D2}">
  <ds:schemaRefs/>
</ds:datastoreItem>
</file>

<file path=customXml/itemProps12.xml><?xml version="1.0" encoding="utf-8"?>
<ds:datastoreItem xmlns:ds="http://schemas.openxmlformats.org/officeDocument/2006/customXml" ds:itemID="{AEF321E9-4622-4595-9D05-2B7065170FF8}">
  <ds:schemaRefs/>
</ds:datastoreItem>
</file>

<file path=customXml/itemProps13.xml><?xml version="1.0" encoding="utf-8"?>
<ds:datastoreItem xmlns:ds="http://schemas.openxmlformats.org/officeDocument/2006/customXml" ds:itemID="{80B5A9D2-F531-4657-8411-A96213C54C6E}">
  <ds:schemaRefs/>
</ds:datastoreItem>
</file>

<file path=customXml/itemProps14.xml><?xml version="1.0" encoding="utf-8"?>
<ds:datastoreItem xmlns:ds="http://schemas.openxmlformats.org/officeDocument/2006/customXml" ds:itemID="{68750163-F760-442E-A554-61065429B4FD}">
  <ds:schemaRefs>
    <ds:schemaRef ds:uri="http://schemas.microsoft.com/DataMashup"/>
  </ds:schemaRefs>
</ds:datastoreItem>
</file>

<file path=customXml/itemProps15.xml><?xml version="1.0" encoding="utf-8"?>
<ds:datastoreItem xmlns:ds="http://schemas.openxmlformats.org/officeDocument/2006/customXml" ds:itemID="{5B03195E-086A-41C5-A608-6CDD52B7C12F}">
  <ds:schemaRefs/>
</ds:datastoreItem>
</file>

<file path=customXml/itemProps16.xml><?xml version="1.0" encoding="utf-8"?>
<ds:datastoreItem xmlns:ds="http://schemas.openxmlformats.org/officeDocument/2006/customXml" ds:itemID="{119F7301-8F23-4D96-A82B-070399B362B1}">
  <ds:schemaRefs/>
</ds:datastoreItem>
</file>

<file path=customXml/itemProps17.xml><?xml version="1.0" encoding="utf-8"?>
<ds:datastoreItem xmlns:ds="http://schemas.openxmlformats.org/officeDocument/2006/customXml" ds:itemID="{EFDE961B-F40C-4202-9252-9DDAF4AF3812}">
  <ds:schemaRefs/>
</ds:datastoreItem>
</file>

<file path=customXml/itemProps18.xml><?xml version="1.0" encoding="utf-8"?>
<ds:datastoreItem xmlns:ds="http://schemas.openxmlformats.org/officeDocument/2006/customXml" ds:itemID="{4ADF8807-8551-4185-B903-634F755872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Daily ER No of Patient</vt:lpstr>
      <vt:lpstr>Average Wait Time</vt:lpstr>
      <vt:lpstr>Satisfaction Score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kohli { vrj luv }</dc:creator>
  <cp:lastModifiedBy>jatin kohli { vrj luv }</cp:lastModifiedBy>
  <dcterms:created xsi:type="dcterms:W3CDTF">2026-01-11T10:29:32Z</dcterms:created>
  <dcterms:modified xsi:type="dcterms:W3CDTF">2026-02-10T08:44:29Z</dcterms:modified>
</cp:coreProperties>
</file>